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7c70b92f440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374102ac15442ea"/>
    <x:sheet xmlns:r="http://schemas.openxmlformats.org/officeDocument/2006/relationships" name="Функции" sheetId="2" r:id="R25d9f5ccba3a4675"/>
    <x:sheet xmlns:r="http://schemas.openxmlformats.org/officeDocument/2006/relationships" name="Этапы" sheetId="3" r:id="R5d4a320d881944ff"/>
    <x:sheet xmlns:r="http://schemas.openxmlformats.org/officeDocument/2006/relationships" name="Справочники" sheetId="4" r:id="R324df56ab4a14375"/>
  </x:sheets>
</x:workbook>
</file>

<file path=xl/comments1.xml><?xml version="1.0" encoding="utf-8"?>
<x:comments xmlns:x="http://schemas.openxmlformats.org/spreadsheetml/2006/main">
  <x:authors>
    <x:author>tc={1BCD0AC9-FB29-ECB9-5A4E-79FCAC02D0CC}</x:author>
  </x:authors>
  <x:commentList>
    <x:comment ref="A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Оценка: Реализовано = 100%, Частично = 50%, В разработке = 25%, Запланировано = 0%.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yyyy-mm-dd"/>
    <x:numFmt numFmtId="202" formatCode="0"/>
  </x:numFmts>
  <x:fonts count="18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  <x:font>
      <x:i/>
      <x:sz val="11"/>
      <x:color rgb="FF38536D"/>
      <x:name val="Carlito"/>
    </x:font>
    <x:font>
      <x:sz val="9"/>
      <x:name val="Aptos"/>
    </x:font>
    <x:font>
      <x:b/>
      <x:sz val="20"/>
      <x:color rgb="FFFFFFFF"/>
      <x:name val="Aptos Display"/>
    </x:font>
    <x:font>
      <x:b/>
      <x:sz val="11"/>
      <x:color rgb="FF17324D"/>
      <x:name val="Carlito"/>
    </x:font>
    <x:font>
      <x:b/>
      <x:sz val="22"/>
      <x:color rgb="FF17324D"/>
      <x:name val="Carlito"/>
    </x:font>
    <x:font>
      <x:b/>
      <x:sz val="11"/>
      <x:color rgb="FF166534"/>
      <x:name val="Carlito"/>
    </x:font>
    <x:font>
      <x:b/>
      <x:sz val="22"/>
      <x:color rgb="FF166534"/>
      <x:name val="Carlito"/>
    </x:font>
    <x:font>
      <x:b/>
      <x:sz val="11"/>
      <x:color rgb="FF92400E"/>
      <x:name val="Carlito"/>
    </x:font>
    <x:font>
      <x:b/>
      <x:sz val="22"/>
      <x:color rgb="FF92400E"/>
      <x:name val="Carlito"/>
    </x:font>
    <x:font>
      <x:b/>
      <x:sz val="11"/>
      <x:color rgb="FF475569"/>
      <x:name val="Carlito"/>
    </x:font>
    <x:font>
      <x:b/>
      <x:sz val="22"/>
      <x:color rgb="FF475569"/>
      <x:name val="Carlito"/>
    </x:font>
    <x:font>
      <x:b/>
      <x:sz val="11"/>
      <x:color rgb="FF155E5B"/>
      <x:name val="Carlito"/>
    </x:font>
    <x:font>
      <x:b/>
      <x:sz val="22"/>
      <x:color rgb="FF155E5B"/>
      <x:name val="Carlito"/>
    </x:font>
    <x:font>
      <x:sz val="11"/>
      <x:color rgb="FF7C4A0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17324D"/>
      </x:patternFill>
    </x:fill>
    <x:fill>
      <x:patternFill patternType="solid">
        <x:fgColor rgb="FFEAF1F8"/>
      </x:patternFill>
    </x:fill>
    <x:fill>
      <x:patternFill patternType="solid">
        <x:fgColor rgb="FF2B7A78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1F5F9"/>
      </x:patternFill>
    </x:fill>
    <x:fill>
      <x:patternFill patternType="solid">
        <x:fgColor rgb="FFDFF3F1"/>
      </x:patternFill>
    </x:fill>
    <x:fill>
      <x:patternFill patternType="solid">
        <x:fgColor rgb="FFFFF7E6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9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/>
    </x:xf>
    <x:xf numFmtId="201" fontId="5" fillId="0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202" fontId="8" fillId="4" borderId="0" xfId="0" applyNumberFormat="1" applyFont="1" applyFill="1" applyBorder="1"/>
    <x:xf numFmtId="202" fontId="8" fillId="4" borderId="0" xfId="0" applyNumberFormat="1" applyFont="1" applyFill="1" applyBorder="1" applyAlignment="1">
      <x:alignment horizontal="center"/>
    </x:xf>
    <x:xf numFmtId="202" fontId="8" fillId="4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/>
    <x:xf numFmtId="202" fontId="10" fillId="6" borderId="0" xfId="0" applyNumberFormat="1" applyFont="1" applyFill="1" applyBorder="1"/>
    <x:xf numFmtId="202" fontId="10" fillId="6" borderId="0" xfId="0" applyNumberFormat="1" applyFont="1" applyFill="1" applyBorder="1" applyAlignment="1">
      <x:alignment horizontal="center"/>
    </x:xf>
    <x:xf numFmtId="202" fontId="10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 vertical="center"/>
    </x:xf>
    <x:xf numFmtId="0" fontId="12" fillId="7" borderId="0" xfId="0" applyNumberFormat="1" applyFont="1" applyFill="1" applyBorder="1"/>
    <x:xf numFmtId="202" fontId="12" fillId="7" borderId="0" xfId="0" applyNumberFormat="1" applyFont="1" applyFill="1" applyBorder="1"/>
    <x:xf numFmtId="202" fontId="12" fillId="7" borderId="0" xfId="0" applyNumberFormat="1" applyFont="1" applyFill="1" applyBorder="1" applyAlignment="1">
      <x:alignment horizontal="center"/>
    </x:xf>
    <x:xf numFmtId="202" fontId="12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horizontal="center"/>
    </x:xf>
    <x:xf numFmtId="0" fontId="13" fillId="8" borderId="0" xfId="0" applyNumberFormat="1" applyFont="1" applyFill="1" applyBorder="1" applyAlignment="1">
      <x:alignment horizontal="center" vertical="center"/>
    </x:xf>
    <x:xf numFmtId="0" fontId="14" fillId="8" borderId="0" xfId="0" applyNumberFormat="1" applyFont="1" applyFill="1" applyBorder="1"/>
    <x:xf numFmtId="202" fontId="14" fillId="8" borderId="0" xfId="0" applyNumberFormat="1" applyFont="1" applyFill="1" applyBorder="1"/>
    <x:xf numFmtId="202" fontId="14" fillId="8" borderId="0" xfId="0" applyNumberFormat="1" applyFont="1" applyFill="1" applyBorder="1" applyAlignment="1">
      <x:alignment horizontal="center"/>
    </x:xf>
    <x:xf numFmtId="202" fontId="14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horizontal="center"/>
    </x:xf>
    <x:xf numFmtId="0" fontId="15" fillId="9" borderId="0" xfId="0" applyNumberFormat="1" applyFont="1" applyFill="1" applyBorder="1" applyAlignment="1">
      <x:alignment horizontal="center" vertical="center"/>
    </x:xf>
    <x:xf numFmtId="0" fontId="16" fillId="9" borderId="0" xfId="0" applyNumberFormat="1" applyFont="1" applyFill="1" applyBorder="1" applyAlignment="1">
      <x:alignment horizontal="center" vertical="center"/>
    </x:xf>
    <x:xf numFmtId="200" fontId="16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7" fillId="10" borderId="0" xfId="0" applyNumberFormat="1" applyFont="1" applyFill="1" applyBorder="1"/>
    <x:xf numFmtId="0" fontId="17" fillId="10" borderId="0" xfId="0" applyNumberFormat="1" applyFont="1" applyFill="1" applyBorder="1" applyAlignment="1">
      <x:alignment wrapText="1"/>
    </x:xf>
    <x:xf numFmtId="0" fontId="17" fillId="1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vertical="center"/>
    </x:xf>
    <x:xf numFmtId="0" fontId="2" fillId="5" borderId="2" xfId="0" applyNumberFormat="1" applyFont="1" applyFill="1" applyBorder="1" applyAlignment="1">
      <x:alignment vertical="center"/>
    </x:xf>
    <x:xf numFmtId="0" fontId="2" fillId="5" borderId="3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color rgb="FF475569"/>
      </x:font>
      <x:fill>
        <x:patternFill>
          <x:bgColor rgb="FFF1F5F9"/>
        </x:patternFill>
      </x:fill>
    </x:dxf>
    <x:dxf>
      <x:font>
        <x:color rgb="FF1B7F3A"/>
      </x:font>
      <x:fill>
        <x:patternFill patternType="solid">
          <x:bgColor rgb="FFD8F3DC"/>
        </x:patternFill>
      </x:fill>
    </x:dxf>
    <x:dxf>
      <x:font>
        <x:color rgb="FFA34B00"/>
      </x:font>
      <x:fill>
        <x:patternFill patternType="solid">
          <x:bgColor rgb="FFFFF3BF"/>
        </x:patternFill>
      </x:fill>
    </x:dxf>
    <x:dxf>
      <x:font>
        <x:color rgb="FF174EA6"/>
      </x:font>
      <x:fill>
        <x:patternFill patternType="solid">
          <x:bgColor rgb="FFDDEBFF"/>
        </x:patternFill>
      </x:fill>
    </x:dxf>
    <x:dxf>
      <x:font>
        <x:color rgb="FF475467"/>
      </x:font>
      <x:fill>
        <x:patternFill patternType="solid">
          <x:bgColor rgb="FFEEF2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baffe57e04a2b" /><Relationship Type="http://schemas.openxmlformats.org/officeDocument/2006/relationships/theme" Target="/xl/theme/theme1.xml" Id="R9513f0f4b1424fec" /><Relationship Type="http://schemas.openxmlformats.org/officeDocument/2006/relationships/sharedStrings" Target="/xl/sharedStrings.xml" Id="R62979211abb64568" /><Relationship Type="http://schemas.openxmlformats.org/officeDocument/2006/relationships/worksheet" Target="/xl/worksheets/sheet1.xml" Id="R8374102ac15442ea" /><Relationship Type="http://schemas.openxmlformats.org/officeDocument/2006/relationships/worksheet" Target="/xl/worksheets/sheet2.xml" Id="R25d9f5ccba3a4675" /><Relationship Type="http://schemas.openxmlformats.org/officeDocument/2006/relationships/worksheet" Target="/xl/worksheets/sheet3.xml" Id="R5d4a320d881944ff" /><Relationship Type="http://schemas.openxmlformats.org/officeDocument/2006/relationships/worksheet" Target="/xl/worksheets/sheet4.xml" Id="R324df56ab4a14375" /><Relationship Type="http://schemas.microsoft.com/office/2017/10/relationships/person" Target="/xl/persons/person.xml" Id="Rf91e3bec849a4e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93a13d8e9e418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Распределение функций по статусам</a:t>
            </a:r>
          </a:p>
        </c:rich>
      </c:tx>
      <c:overlay val="0"/>
    </c:title>
    <c:plotArea>
      <c:doughnutChart>
        <c:ser>
          <c:idx val="0"/>
          <c:order val="0"/>
          <c:tx>
            <c:v>Количество</c:v>
          </c:tx>
          <c:cat>
            <c:strRef>
              <c:f>'Сводка'!$A$14:$A$17</c:f>
              <c:strCache>
                <c:ptCount val="0"/>
              </c:strCache>
            </c:strRef>
          </c:cat>
          <c:val>
            <c:numRef>
              <c:f>'Сводка'!$B$14:$B$17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93a13d8e9e4186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Mezamir" id="{AE09B945-E13D-421F-82AB-FA5FB6E26E61}"/>
</xltc:personList>
</file>

<file path=xl/tables/table1.xml><?xml version="1.0" encoding="utf-8"?>
<x:table xmlns:x="http://schemas.openxmlformats.org/spreadsheetml/2006/main" id="1" name="FeaturesTable" displayName="FeaturesTable" ref="A4:M153" headerRowCount="1" totalsRowCount="0" totalsRowShown="0">
  <x:autoFilter ref="A4:M153"/>
  <x:tableColumns count="13">
    <x:tableColumn id="1" name="ID"/>
    <x:tableColumn id="2" name="Раздел"/>
    <x:tableColumn id="3" name="Возможность"/>
    <x:tableColumn id="4" name="Статус"/>
    <x:tableColumn id="5" name="Готовность"/>
    <x:tableColumn id="6" name="Приоритет"/>
    <x:tableColumn id="7" name="MVP"/>
    <x:tableColumn id="8" name="Этап"/>
    <x:tableColumn id="9" name="Что уже есть"/>
    <x:tableColumn id="10" name="Следующий шаг"/>
    <x:tableColumn id="11" name="Ответственный"/>
    <x:tableColumn id="12" name="Срок"/>
    <x:tableColumn id="13" name="Примеч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9" dT="2026-08-17T13:27:59.565" personId="{AE09B945-E13D-421F-82AB-FA5FB6E26E61}" id="{1BCD0AC9-FB29-ECB9-5A4E-79FCAC02D0CC}">
    <xltc:text>Оценка: Реализовано = 100%, Частично = 50%, В разработке = 25%, Запланировано = 0%.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a169469ef5e4c71" /><Relationship Type="http://schemas.openxmlformats.org/officeDocument/2006/relationships/vmlDrawing" Target="/xl/drawings/vmldrawing.vml" Id="R016ea89e69d44d31" /><Relationship Type="http://schemas.microsoft.com/office/2017/10/relationships/threadedComment" Target="/xl/threadedcomments/threadedcomment.xml" Id="R0c68aa2da31f4934" /><Relationship Type="http://schemas.openxmlformats.org/officeDocument/2006/relationships/drawing" Target="/xl/drawings/drawing1.xml" Id="R46773a6dc0e54c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e50ed7efd544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8" customHeight="1">
      <x:c r="A1" s="40" t="str">
        <x:v>SHIFT TRACKER — КАРТА ГОТОВНОСТИ ПРОДУКТА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</x:row>
    <x:row r="2">
      <x:c r="A2" s="10" t="str">
        <x:v>Состояние на 17.08.2026. Источник истины — лист «Функции»; меняйте статусы там.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43" t="str">
        <x:v>Всего функций</x:v>
      </x:c>
      <x:c r="B4" s="43"/>
      <x:c r="C4" s="43"/>
      <x:c r="D4" s="51" t="str">
        <x:v>Реализовано</x:v>
      </x:c>
      <x:c r="E4" s="51"/>
      <x:c r="F4" s="51"/>
      <x:c r="G4" s="59" t="str">
        <x:v>Частично</x:v>
      </x:c>
      <x:c r="H4" s="59"/>
      <x:c r="I4" s="59"/>
      <x:c r="J4" s="67" t="str">
        <x:v>Запланировано</x:v>
      </x:c>
      <x:c r="K4" s="67"/>
      <x:c r="L4" s="67"/>
    </x:row>
    <x:row r="5">
      <x:c r="A5" s="47" t="n">
        <x:f>COUNTA('Функции'!$C$5:$C$200)</x:f>
        <x:v>149</x:v>
      </x:c>
      <x:c r="B5" s="47"/>
      <x:c r="C5" s="47"/>
      <x:c r="D5" s="55" t="n">
        <x:f>COUNTIF('Функции'!$D$5:$D$200,"Реализовано")</x:f>
        <x:v>17</x:v>
      </x:c>
      <x:c r="E5" s="55"/>
      <x:c r="F5" s="55"/>
      <x:c r="G5" s="63" t="n">
        <x:f>COUNTIF('Функции'!$D$5:$D$200,"Частично")</x:f>
        <x:v>23</x:v>
      </x:c>
      <x:c r="H5" s="63"/>
      <x:c r="I5" s="63"/>
      <x:c r="J5" s="71" t="n">
        <x:f>COUNTIF('Функции'!$D$5:$D$200,"Запланировано")</x:f>
        <x:v>109</x:v>
      </x:c>
      <x:c r="K5" s="71"/>
      <x:c r="L5" s="71"/>
    </x:row>
    <x:row r="6">
      <x:c r="A6" s="47"/>
      <x:c r="B6" s="47"/>
      <x:c r="C6" s="47"/>
      <x:c r="D6" s="55"/>
      <x:c r="E6" s="55"/>
      <x:c r="F6" s="55"/>
      <x:c r="G6" s="63"/>
      <x:c r="H6" s="63"/>
      <x:c r="I6" s="63"/>
      <x:c r="J6" s="71"/>
      <x:c r="K6" s="71"/>
      <x:c r="L6" s="71"/>
    </x:row>
    <x:row r="8">
      <x:c r="A8" s="75" t="str">
        <x:v>Общая готовность</x:v>
      </x:c>
      <x:c r="B8" s="75"/>
      <x:c r="C8" s="75"/>
      <x:c r="D8" s="81" t="str">
        <x:v>Ближайшая цель: полноценная модель смен, массовое планирование, конфликты и публикация графика. Основа интерфейса, три темы и персональный главный экран уже готовы.</x:v>
      </x:c>
      <x:c r="E8" s="81"/>
      <x:c r="F8" s="81"/>
      <x:c r="G8" s="81"/>
      <x:c r="H8" s="81"/>
      <x:c r="I8" s="81"/>
      <x:c r="J8" s="81"/>
      <x:c r="K8" s="81"/>
      <x:c r="L8" s="81"/>
    </x:row>
    <x:row r="9">
      <x:c r="A9" s="77" t="n">
        <x:f>AVERAGE('Функции'!$E$5:$E$200)</x:f>
        <x:v>0.1912751677852349</x:v>
      </x:c>
      <x:c r="B9" s="77"/>
      <x:c r="C9" s="77"/>
      <x:c r="D9" s="81"/>
      <x:c r="E9" s="81"/>
      <x:c r="F9" s="81"/>
      <x:c r="G9" s="81"/>
      <x:c r="H9" s="81"/>
      <x:c r="I9" s="81"/>
      <x:c r="J9" s="81"/>
      <x:c r="K9" s="81"/>
      <x:c r="L9" s="81"/>
    </x:row>
    <x:row r="10">
      <x:c r="A10" s="77"/>
      <x:c r="B10" s="77"/>
      <x:c r="C10" s="77"/>
      <x:c r="D10" s="81"/>
      <x:c r="E10" s="81"/>
      <x:c r="F10" s="81"/>
      <x:c r="G10" s="81"/>
      <x:c r="H10" s="81"/>
      <x:c r="I10" s="81"/>
      <x:c r="J10" s="81"/>
      <x:c r="K10" s="81"/>
      <x:c r="L10" s="81"/>
    </x:row>
    <x:row r="13">
      <x:c r="A13" s="83" t="str">
        <x:v>Статус</x:v>
      </x:c>
      <x:c r="B13" s="84" t="str">
        <x:v>Количество</x:v>
      </x:c>
      <x:c r="C13" s="85" t="str">
        <x:v>Доля</x:v>
      </x:c>
    </x:row>
    <x:row r="14">
      <x:c r="A14" s="24" t="str">
        <x:v>Реализовано</x:v>
      </x:c>
      <x:c r="B14" s="25" t="n">
        <x:f>COUNTIF('Функции'!$D$5:$D$200,A14)</x:f>
        <x:v>17</x:v>
      </x:c>
      <x:c r="C14" s="86" t="n">
        <x:f>IF($A$5=0,0,B14/$A$5)</x:f>
        <x:v>0.11409395973154363</x:v>
      </x:c>
    </x:row>
    <x:row r="15">
      <x:c r="A15" s="24" t="str">
        <x:v>Частично</x:v>
      </x:c>
      <x:c r="B15" s="25" t="n">
        <x:f>COUNTIF('Функции'!$D$5:$D$200,A15)</x:f>
        <x:v>23</x:v>
      </x:c>
      <x:c r="C15" s="86" t="n">
        <x:f>IF($A$5=0,0,B15/$A$5)</x:f>
        <x:v>0.15436241610738255</x:v>
      </x:c>
    </x:row>
    <x:row r="16">
      <x:c r="A16" s="24" t="str">
        <x:v>В разработке</x:v>
      </x:c>
      <x:c r="B16" s="25" t="n">
        <x:f>COUNTIF('Функции'!$D$5:$D$200,A16)</x:f>
        <x:v>0</x:v>
      </x:c>
      <x:c r="C16" s="86" t="n">
        <x:f>IF($A$5=0,0,B16/$A$5)</x:f>
        <x:v>0</x:v>
      </x:c>
    </x:row>
    <x:row r="17">
      <x:c r="A17" s="27" t="str">
        <x:v>Запланировано</x:v>
      </x:c>
      <x:c r="B17" s="28" t="n">
        <x:f>COUNTIF('Функции'!$D$5:$D$200,A17)</x:f>
        <x:v>109</x:v>
      </x:c>
      <x:c r="C17" s="87" t="n">
        <x:f>IF($A$5=0,0,B17/$A$5)</x:f>
        <x:v>0.7315436241610739</x:v>
      </x:c>
    </x:row>
    <x:row r="20">
      <x:c r="A20" s="83" t="str">
        <x:v>Этап</x:v>
      </x:c>
      <x:c r="B20" s="84" t="str">
        <x:v>Функций</x:v>
      </x:c>
      <x:c r="C20" s="85" t="str">
        <x:v>Готовность</x:v>
      </x:c>
    </x:row>
    <x:row r="21" ht="34" customHeight="1">
      <x:c r="A21" s="88" t="str">
        <x:f>'Этапы'!A4</x:f>
        <x:v>Фундамент</x:v>
      </x:c>
      <x:c r="B21" s="25" t="n">
        <x:f>'Этапы'!C4</x:f>
        <x:v>20</x:v>
      </x:c>
      <x:c r="C21" s="86" t="n">
        <x:f>'Этапы'!F4</x:f>
        <x:v>0.675</x:v>
      </x:c>
    </x:row>
    <x:row r="22" ht="34" customHeight="1">
      <x:c r="A22" s="88" t="str">
        <x:f>'Этапы'!A5</x:f>
        <x:v>V1.0 — ядро графика</x:v>
      </x:c>
      <x:c r="B22" s="25" t="n">
        <x:f>'Этапы'!C5</x:f>
        <x:v>25</x:v>
      </x:c>
      <x:c r="C22" s="86" t="n">
        <x:f>'Этапы'!F5</x:f>
        <x:v>0.22</x:v>
      </x:c>
    </x:row>
    <x:row r="23" ht="34" customHeight="1">
      <x:c r="A23" s="88" t="str">
        <x:f>'Этапы'!A6</x:f>
        <x:v>V1.0 — отсутствия и заявки</x:v>
      </x:c>
      <x:c r="B23" s="25" t="n">
        <x:f>'Этапы'!C6</x:f>
        <x:v>23</x:v>
      </x:c>
      <x:c r="C23" s="86" t="n">
        <x:f>'Этапы'!F6</x:f>
        <x:v>0.10869565217391304</x:v>
      </x:c>
    </x:row>
    <x:row r="24" ht="34" customHeight="1">
      <x:c r="A24" s="88" t="str">
        <x:f>'Этапы'!A7</x:f>
        <x:v>V1.0 — табель и аудит</x:v>
      </x:c>
      <x:c r="B24" s="25" t="n">
        <x:f>'Этапы'!C7</x:f>
        <x:v>26</x:v>
      </x:c>
      <x:c r="C24" s="86" t="n">
        <x:f>'Этапы'!F7</x:f>
        <x:v>0.1346153846153846</x:v>
      </x:c>
    </x:row>
    <x:row r="25" ht="34" customHeight="1">
      <x:c r="A25" s="88" t="str">
        <x:f>'Этапы'!A8</x:f>
        <x:v>V1.1 — замены и уведомления</x:v>
      </x:c>
      <x:c r="B25" s="25" t="n">
        <x:f>'Этапы'!C8</x:f>
        <x:v>21</x:v>
      </x:c>
      <x:c r="C25" s="86" t="n">
        <x:f>'Этапы'!F8</x:f>
        <x:v>0</x:v>
      </x:c>
    </x:row>
    <x:row r="26" ht="34" customHeight="1">
      <x:c r="A26" s="88" t="str">
        <x:f>'Этапы'!A9</x:f>
        <x:v>V1.2 — аналитика и зарплата</x:v>
      </x:c>
      <x:c r="B26" s="25" t="n">
        <x:f>'Этапы'!C9</x:f>
        <x:v>19</x:v>
      </x:c>
      <x:c r="C26" s="86" t="n">
        <x:f>'Этапы'!F9</x:f>
        <x:v>0.07894736842105263</x:v>
      </x:c>
    </x:row>
    <x:row r="27" ht="34" customHeight="1">
      <x:c r="A27" s="89" t="str">
        <x:f>'Этапы'!A10</x:f>
        <x:v>V2.0 — интеграции и мобильность</x:v>
      </x:c>
      <x:c r="B27" s="28" t="n">
        <x:f>'Этапы'!C10</x:f>
        <x:v>15</x:v>
      </x:c>
      <x:c r="C27" s="87" t="n">
        <x:f>'Этапы'!F10</x:f>
        <x:v>0.13333333333333333</x:v>
      </x:c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8:C8"/>
    <x:mergeCell ref="A9:C10"/>
    <x:mergeCell ref="D8:L10"/>
  </x:mergeCells>
  <x:conditionalFormatting sqref="C21:C27">
    <x:cfRule type="dataBar" priority="1">
      <x:dataBar>
        <x:cfvo type="min"/>
        <x:cfvo type="max"/>
        <x:color rgb="FF2B7A78"/>
      </x:dataBar>
      <x:extLst>
        <x:ext xmlns:x14="http://schemas.microsoft.com/office/spreadsheetml/2009/9/main" uri="{B025F937-C7B1-47D3-B67F-A62EFF666E3E}">
          <x14:id>{D2E9BB29-A738-4E44-6CC0-2DB569F780E4}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46773a6dc0e54c73"/>
  <x:legacyDrawing xmlns:r="http://schemas.openxmlformats.org/officeDocument/2006/relationships" r:id="R016ea89e69d44d31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2E9BB29-A738-4E44-6CC0-2DB569F780E4}">
            <x14:dataBar gradient="1">
              <x14:cfvo type="min"/>
              <x14:cfvo type="max"/>
              <x14:fillColor rgb="FF2B7A78"/>
            </x14:dataBar>
          </x14:cfRule>
          <xm:sqref>C21:C27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1" hidden="0" customWidth="1"/>
    <x:col min="3" max="3" width="52" hidden="0" customWidth="1"/>
    <x:col min="4" max="4" width="18" hidden="0" customWidth="1"/>
    <x:col min="5" max="5" width="13" hidden="0" customWidth="1"/>
    <x:col min="6" max="6" width="15" hidden="0" customWidth="1"/>
    <x:col min="7" max="7" width="9" hidden="0" customWidth="1"/>
    <x:col min="8" max="8" width="32" hidden="0" customWidth="1"/>
    <x:col min="9" max="9" width="48" hidden="0" customWidth="1"/>
    <x:col min="10" max="10" width="48" hidden="0" customWidth="1"/>
    <x:col min="11" max="11" width="18" hidden="0" customWidth="1"/>
    <x:col min="12" max="12" width="14" hidden="0" customWidth="1"/>
    <x:col min="13" max="13" width="32" hidden="0" customWidth="1"/>
  </x:cols>
  <x:sheetData>
    <x:row r="1" ht="34" customHeight="1">
      <x:c r="A1" s="8" t="str">
        <x:v>SHIFT TRACKER — ЧЕКЛИСТ ФУНКЦИОНАЛЬНОСТИ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28" customHeight="1">
      <x:c r="A2" s="11" t="str">
        <x:v>Меняйте статус, приоритет, этап, ответственного и срок. Сводка и проценты пересчитываются автоматически.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0" customHeight="1">
      <x:c r="A4" s="13" t="str">
        <x:v>ID</x:v>
      </x:c>
      <x:c r="B4" s="13" t="str">
        <x:v>Раздел</x:v>
      </x:c>
      <x:c r="C4" s="13" t="str">
        <x:v>Возможность</x:v>
      </x:c>
      <x:c r="D4" s="13" t="str">
        <x:v>Статус</x:v>
      </x:c>
      <x:c r="E4" s="13" t="str">
        <x:v>Готовность</x:v>
      </x:c>
      <x:c r="F4" s="13" t="str">
        <x:v>Приоритет</x:v>
      </x:c>
      <x:c r="G4" s="13" t="str">
        <x:v>MVP</x:v>
      </x:c>
      <x:c r="H4" s="13" t="str">
        <x:v>Этап</x:v>
      </x:c>
      <x:c r="I4" s="13" t="str">
        <x:v>Что уже есть</x:v>
      </x:c>
      <x:c r="J4" s="13" t="str">
        <x:v>Следующий шаг</x:v>
      </x:c>
      <x:c r="K4" s="13" t="str">
        <x:v>Ответственный</x:v>
      </x:c>
      <x:c r="L4" s="13" t="str">
        <x:v>Срок</x:v>
      </x:c>
      <x:c r="M4" s="13" t="str">
        <x:v>Примечание</x:v>
      </x:c>
    </x:row>
    <x:row r="5" ht="42" customHeight="1">
      <x:c r="A5" s="13" t="str">
        <x:v>F-001</x:v>
      </x:c>
      <x:c r="B5" s="13" t="str">
        <x:v>1. Управление сотрудниками</x:v>
      </x:c>
      <x:c r="C5" s="14" t="str">
        <x:v>Добавление, редактирование и архивирование сотрудников</x:v>
      </x:c>
      <x:c r="D5" s="13" t="str">
        <x:v>Частично</x:v>
      </x:c>
      <x:c r="E5" s="15" t="n">
        <x:f>IF(D5="Реализовано",1,IF(D5="Частично",0.5,IF(D5="В разработке",0.25,0)))</x:f>
        <x:v>0.5</x:v>
      </x:c>
      <x:c r="F5" s="13" t="str">
        <x:v>Критический</x:v>
      </x:c>
      <x:c r="G5" s="13" t="str">
        <x:v>Да</x:v>
      </x:c>
      <x:c r="H5" s="13" t="str">
        <x:v>Фундамент</x:v>
      </x:c>
      <x:c r="I5" s="14" t="str">
        <x:v>Есть базовая модель или интерфейс, но полный рабочий сценарий ещё не завершён.</x:v>
      </x:c>
      <x:c r="J5" s="14" t="str">
        <x:v>Расширить карточку сотрудника и добавить руководителя, нормы, отпуска и допуски.</x:v>
      </x:c>
      <x:c r="K5" s="13" t="str"/>
      <x:c r="L5" s="16"/>
      <x:c r="M5" s="14" t="str"/>
    </x:row>
    <x:row r="6" ht="42" customHeight="1">
      <x:c r="A6" s="13" t="str">
        <x:v>F-002</x:v>
      </x:c>
      <x:c r="B6" s="13" t="str">
        <x:v>1. Управление сотрудниками</x:v>
      </x:c>
      <x:c r="C6" s="14" t="str">
        <x:v>Распределение сотрудников по отделам, должностям и рабочим группам</x:v>
      </x:c>
      <x:c r="D6" s="13" t="str">
        <x:v>Реализовано</x:v>
      </x:c>
      <x:c r="E6" s="15" t="n">
        <x:f>IF(D6="Реализовано",1,IF(D6="Частично",0.5,IF(D6="В разработке",0.25,0)))</x:f>
        <x:v>1</x:v>
      </x:c>
      <x:c r="F6" s="13" t="str">
        <x:v>Критический</x:v>
      </x:c>
      <x:c r="G6" s="13" t="str">
        <x:v>Да</x:v>
      </x:c>
      <x:c r="H6" s="13" t="str">
        <x:v>Фундамент</x:v>
      </x:c>
      <x:c r="I6" s="14" t="str">
        <x:v>Функция работает в текущем приложении и серверном API.</x:v>
      </x:c>
      <x:c r="J6" s="14" t="str">
        <x:v>Расширить карточку сотрудника и добавить руководителя, нормы, отпуска и допуски.</x:v>
      </x:c>
      <x:c r="K6" s="13" t="str"/>
      <x:c r="L6" s="16"/>
      <x:c r="M6" s="14" t="str"/>
    </x:row>
    <x:row r="7" ht="42" customHeight="1">
      <x:c r="A7" s="13" t="str">
        <x:v>F-003</x:v>
      </x:c>
      <x:c r="B7" s="13" t="str">
        <x:v>1. Управление сотрудниками</x:v>
      </x:c>
      <x:c r="C7" s="14" t="str">
        <x:v>Назначение руководителя подразделения</x:v>
      </x:c>
      <x:c r="D7" s="13" t="str">
        <x:v>Запланировано</x:v>
      </x:c>
      <x:c r="E7" s="15" t="n">
        <x:f>IF(D7="Реализовано",1,IF(D7="Частично",0.5,IF(D7="В разработке",0.25,0)))</x:f>
        <x:v>0</x:v>
      </x:c>
      <x:c r="F7" s="13" t="str">
        <x:v>Критический</x:v>
      </x:c>
      <x:c r="G7" s="13" t="str">
        <x:v>Да</x:v>
      </x:c>
      <x:c r="H7" s="13" t="str">
        <x:v>Фундамент</x:v>
      </x:c>
      <x:c r="I7" s="14" t="str">
        <x:v>Функция пока отсутствует в текущей версии.</x:v>
      </x:c>
      <x:c r="J7" s="14" t="str">
        <x:v>Расширить карточку сотрудника и добавить руководителя, нормы, отпуска и допуски.</x:v>
      </x:c>
      <x:c r="K7" s="13" t="str"/>
      <x:c r="L7" s="16"/>
      <x:c r="M7" s="14" t="str"/>
    </x:row>
    <x:row r="8" ht="42" customHeight="1">
      <x:c r="A8" s="13" t="str">
        <x:v>F-004</x:v>
      </x:c>
      <x:c r="B8" s="13" t="str">
        <x:v>1. Управление сотрудниками</x:v>
      </x:c>
      <x:c r="C8" s="14" t="str">
        <x:v>Хранение рабочего графика, ставки, нормы часов и остатка отпуска</x:v>
      </x:c>
      <x:c r="D8" s="13" t="str">
        <x:v>Частично</x:v>
      </x:c>
      <x:c r="E8" s="15" t="n">
        <x:f>IF(D8="Реализовано",1,IF(D8="Частично",0.5,IF(D8="В разработке",0.25,0)))</x:f>
        <x:v>0.5</x:v>
      </x:c>
      <x:c r="F8" s="13" t="str">
        <x:v>Критический</x:v>
      </x:c>
      <x:c r="G8" s="13" t="str">
        <x:v>Да</x:v>
      </x:c>
      <x:c r="H8" s="13" t="str">
        <x:v>Фундамент</x:v>
      </x:c>
      <x:c r="I8" s="14" t="str">
        <x:v>Есть базовая модель или интерфейс, но полный рабочий сценарий ещё не завершён.</x:v>
      </x:c>
      <x:c r="J8" s="14" t="str">
        <x:v>Расширить карточку сотрудника и добавить руководителя, нормы, отпуска и допуски.</x:v>
      </x:c>
      <x:c r="K8" s="13" t="str"/>
      <x:c r="L8" s="16"/>
      <x:c r="M8" s="14" t="str"/>
    </x:row>
    <x:row r="9" ht="42" customHeight="1">
      <x:c r="A9" s="13" t="str">
        <x:v>F-005</x:v>
      </x:c>
      <x:c r="B9" s="13" t="str">
        <x:v>1. Управление сотрудниками</x:v>
      </x:c>
      <x:c r="C9" s="14" t="str">
        <x:v>Квалификации и допуски для назначения на смены</x:v>
      </x:c>
      <x:c r="D9" s="13" t="str">
        <x:v>Запланировано</x:v>
      </x:c>
      <x:c r="E9" s="15" t="n">
        <x:f>IF(D9="Реализовано",1,IF(D9="Частично",0.5,IF(D9="В разработке",0.25,0)))</x:f>
        <x:v>0</x:v>
      </x:c>
      <x:c r="F9" s="13" t="str">
        <x:v>Критический</x:v>
      </x:c>
      <x:c r="G9" s="13" t="str">
        <x:v>Да</x:v>
      </x:c>
      <x:c r="H9" s="13" t="str">
        <x:v>Фундамент</x:v>
      </x:c>
      <x:c r="I9" s="14" t="str">
        <x:v>Функция пока отсутствует в текущей версии.</x:v>
      </x:c>
      <x:c r="J9" s="14" t="str">
        <x:v>Расширить карточку сотрудника и добавить руководителя, нормы, отпуска и допуски.</x:v>
      </x:c>
      <x:c r="K9" s="13" t="str"/>
      <x:c r="L9" s="16"/>
      <x:c r="M9" s="14" t="str"/>
    </x:row>
    <x:row r="10" ht="42" customHeight="1">
      <x:c r="A10" s="13" t="str">
        <x:v>F-006</x:v>
      </x:c>
      <x:c r="B10" s="13" t="str">
        <x:v>1. Управление сотрудниками</x:v>
      </x:c>
      <x:c r="C10" s="14" t="str">
        <x:v>Индивидуальная доступность и пожелания сотрудника</x:v>
      </x:c>
      <x:c r="D10" s="13" t="str">
        <x:v>Запланировано</x:v>
      </x:c>
      <x:c r="E10" s="15" t="n">
        <x:f>IF(D10="Реализовано",1,IF(D10="Частично",0.5,IF(D10="В разработке",0.25,0)))</x:f>
        <x:v>0</x:v>
      </x:c>
      <x:c r="F10" s="13" t="str">
        <x:v>Критический</x:v>
      </x:c>
      <x:c r="G10" s="13" t="str">
        <x:v>Да</x:v>
      </x:c>
      <x:c r="H10" s="13" t="str">
        <x:v>Фундамент</x:v>
      </x:c>
      <x:c r="I10" s="14" t="str">
        <x:v>Функция пока отсутствует в текущей версии.</x:v>
      </x:c>
      <x:c r="J10" s="14" t="str">
        <x:v>Расширить карточку сотрудника и добавить руководителя, нормы, отпуска и допуски.</x:v>
      </x:c>
      <x:c r="K10" s="13" t="str"/>
      <x:c r="L10" s="16"/>
      <x:c r="M10" s="14" t="str"/>
    </x:row>
    <x:row r="11" ht="42" customHeight="1">
      <x:c r="A11" s="13" t="str">
        <x:v>F-007</x:v>
      </x:c>
      <x:c r="B11" s="13" t="str">
        <x:v>2. Планирование рабочего графика</x:v>
      </x:c>
      <x:c r="C11" s="14" t="str">
        <x:v>Создание дневных, ночных, суточных и других видов смен</x:v>
      </x:c>
      <x:c r="D11" s="13" t="str">
        <x:v>Запланировано</x:v>
      </x:c>
      <x:c r="E11" s="15" t="n">
        <x:f>IF(D11="Реализовано",1,IF(D11="Частично",0.5,IF(D11="В разработке",0.25,0)))</x:f>
        <x:v>0</x:v>
      </x:c>
      <x:c r="F11" s="13" t="str">
        <x:v>Критический</x:v>
      </x:c>
      <x:c r="G11" s="13" t="str">
        <x:v>Да</x:v>
      </x:c>
      <x:c r="H11" s="13" t="str">
        <x:v>V1.0 — ядро графика</x:v>
      </x:c>
      <x:c r="I11" s="14" t="str">
        <x:v>Функция пока отсутствует в текущей версии.</x:v>
      </x:c>
      <x:c r="J11" s="14" t="str">
        <x:v>Создать shift_types, shifts, assignments и версионируемый график.</x:v>
      </x:c>
      <x:c r="K11" s="13" t="str"/>
      <x:c r="L11" s="16"/>
      <x:c r="M11" s="14" t="str"/>
    </x:row>
    <x:row r="12" ht="42" customHeight="1">
      <x:c r="A12" s="13" t="str">
        <x:v>F-008</x:v>
      </x:c>
      <x:c r="B12" s="13" t="str">
        <x:v>2. Планирование рабочего графика</x:v>
      </x:c>
      <x:c r="C12" s="14" t="str">
        <x:v>Настройка времени начала, окончания и продолжительности смены</x:v>
      </x:c>
      <x:c r="D12" s="13" t="str">
        <x:v>Запланировано</x:v>
      </x:c>
      <x:c r="E12" s="15" t="n">
        <x:f>IF(D12="Реализовано",1,IF(D12="Частично",0.5,IF(D12="В разработке",0.25,0)))</x:f>
        <x:v>0</x:v>
      </x:c>
      <x:c r="F12" s="13" t="str">
        <x:v>Критический</x:v>
      </x:c>
      <x:c r="G12" s="13" t="str">
        <x:v>Да</x:v>
      </x:c>
      <x:c r="H12" s="13" t="str">
        <x:v>V1.0 — ядро графика</x:v>
      </x:c>
      <x:c r="I12" s="14" t="str">
        <x:v>Функция пока отсутствует в текущей версии.</x:v>
      </x:c>
      <x:c r="J12" s="14" t="str">
        <x:v>Создать shift_types, shifts, assignments и версионируемый график.</x:v>
      </x:c>
      <x:c r="K12" s="13" t="str"/>
      <x:c r="L12" s="16"/>
      <x:c r="M12" s="14" t="str"/>
    </x:row>
    <x:row r="13" ht="42" customHeight="1">
      <x:c r="A13" s="13" t="str">
        <x:v>F-009</x:v>
      </x:c>
      <x:c r="B13" s="13" t="str">
        <x:v>2. Планирование рабочего графика</x:v>
      </x:c>
      <x:c r="C13" s="14" t="str">
        <x:v>Учёт перерывов и ночных часов</x:v>
      </x:c>
      <x:c r="D13" s="13" t="str">
        <x:v>Запланировано</x:v>
      </x:c>
      <x:c r="E13" s="15" t="n">
        <x:f>IF(D13="Реализовано",1,IF(D13="Частично",0.5,IF(D13="В разработке",0.25,0)))</x:f>
        <x:v>0</x:v>
      </x:c>
      <x:c r="F13" s="13" t="str">
        <x:v>Критический</x:v>
      </x:c>
      <x:c r="G13" s="13" t="str">
        <x:v>Да</x:v>
      </x:c>
      <x:c r="H13" s="13" t="str">
        <x:v>V1.0 — ядро графика</x:v>
      </x:c>
      <x:c r="I13" s="14" t="str">
        <x:v>Функция пока отсутствует в текущей версии.</x:v>
      </x:c>
      <x:c r="J13" s="14" t="str">
        <x:v>Создать shift_types, shifts, assignments и версионируемый график.</x:v>
      </x:c>
      <x:c r="K13" s="13" t="str"/>
      <x:c r="L13" s="16"/>
      <x:c r="M13" s="14" t="str"/>
    </x:row>
    <x:row r="14" ht="42" customHeight="1">
      <x:c r="A14" s="13" t="str">
        <x:v>F-010</x:v>
      </x:c>
      <x:c r="B14" s="13" t="str">
        <x:v>2. Планирование рабочего графика</x:v>
      </x:c>
      <x:c r="C14" s="14" t="str">
        <x:v>Шаблоны графиков: 5/2, 2/2, сутки через трое и другие</x:v>
      </x:c>
      <x:c r="D14" s="13" t="str">
        <x:v>Частично</x:v>
      </x:c>
      <x:c r="E14" s="15" t="n">
        <x:f>IF(D14="Реализовано",1,IF(D14="Частично",0.5,IF(D14="В разработке",0.25,0)))</x:f>
        <x:v>0.5</x:v>
      </x:c>
      <x:c r="F14" s="13" t="str">
        <x:v>Критический</x:v>
      </x:c>
      <x:c r="G14" s="13" t="str">
        <x:v>Да</x:v>
      </x:c>
      <x:c r="H14" s="13" t="str">
        <x:v>V1.0 — ядро графика</x:v>
      </x:c>
      <x:c r="I14" s="14" t="str">
        <x:v>Есть базовая модель или интерфейс, но полный рабочий сценарий ещё не завершён.</x:v>
      </x:c>
      <x:c r="J14" s="14" t="str">
        <x:v>Создать shift_types, shifts, assignments и версионируемый график.</x:v>
      </x:c>
      <x:c r="K14" s="13" t="str"/>
      <x:c r="L14" s="16"/>
      <x:c r="M14" s="14" t="str"/>
    </x:row>
    <x:row r="15" ht="42" customHeight="1">
      <x:c r="A15" s="13" t="str">
        <x:v>F-011</x:v>
      </x:c>
      <x:c r="B15" s="13" t="str">
        <x:v>2. Планирование рабочего графика</x:v>
      </x:c>
      <x:c r="C15" s="14" t="str">
        <x:v>Копирование графика на следующую неделю или месяц</x:v>
      </x:c>
      <x:c r="D15" s="13" t="str">
        <x:v>Запланировано</x:v>
      </x:c>
      <x:c r="E15" s="15" t="n">
        <x:f>IF(D15="Реализовано",1,IF(D15="Частично",0.5,IF(D15="В разработке",0.25,0)))</x:f>
        <x:v>0</x:v>
      </x:c>
      <x:c r="F15" s="13" t="str">
        <x:v>Критический</x:v>
      </x:c>
      <x:c r="G15" s="13" t="str">
        <x:v>Да</x:v>
      </x:c>
      <x:c r="H15" s="13" t="str">
        <x:v>V1.0 — ядро графика</x:v>
      </x:c>
      <x:c r="I15" s="14" t="str">
        <x:v>Функция пока отсутствует в текущей версии.</x:v>
      </x:c>
      <x:c r="J15" s="14" t="str">
        <x:v>Создать shift_types, shifts, assignments и версионируемый график.</x:v>
      </x:c>
      <x:c r="K15" s="13" t="str"/>
      <x:c r="L15" s="16"/>
      <x:c r="M15" s="14" t="str"/>
    </x:row>
    <x:row r="16" ht="42" customHeight="1">
      <x:c r="A16" s="13" t="str">
        <x:v>F-012</x:v>
      </x:c>
      <x:c r="B16" s="13" t="str">
        <x:v>2. Планирование рабочего графика</x:v>
      </x:c>
      <x:c r="C16" s="14" t="str">
        <x:v>Массовое назначение и изменение смен</x:v>
      </x:c>
      <x:c r="D16" s="13" t="str">
        <x:v>Запланировано</x:v>
      </x:c>
      <x:c r="E16" s="15" t="n">
        <x:f>IF(D16="Реализовано",1,IF(D16="Частично",0.5,IF(D16="В разработке",0.25,0)))</x:f>
        <x:v>0</x:v>
      </x:c>
      <x:c r="F16" s="13" t="str">
        <x:v>Критический</x:v>
      </x:c>
      <x:c r="G16" s="13" t="str">
        <x:v>Да</x:v>
      </x:c>
      <x:c r="H16" s="13" t="str">
        <x:v>V1.0 — ядро графика</x:v>
      </x:c>
      <x:c r="I16" s="14" t="str">
        <x:v>Функция пока отсутствует в текущей версии.</x:v>
      </x:c>
      <x:c r="J16" s="14" t="str">
        <x:v>Создать shift_types, shifts, assignments и версионируемый график.</x:v>
      </x:c>
      <x:c r="K16" s="13" t="str"/>
      <x:c r="L16" s="16"/>
      <x:c r="M16" s="14" t="str"/>
    </x:row>
    <x:row r="17" ht="42" customHeight="1">
      <x:c r="A17" s="13" t="str">
        <x:v>F-013</x:v>
      </x:c>
      <x:c r="B17" s="13" t="str">
        <x:v>2. Планирование рабочего графика</x:v>
      </x:c>
      <x:c r="C17" s="14" t="str">
        <x:v>Ручное редактирование графика через календарь</x:v>
      </x:c>
      <x:c r="D17" s="13" t="str">
        <x:v>Запланировано</x:v>
      </x:c>
      <x:c r="E17" s="15" t="n">
        <x:f>IF(D17="Реализовано",1,IF(D17="Частично",0.5,IF(D17="В разработке",0.25,0)))</x:f>
        <x:v>0</x:v>
      </x:c>
      <x:c r="F17" s="13" t="str">
        <x:v>Критический</x:v>
      </x:c>
      <x:c r="G17" s="13" t="str">
        <x:v>Да</x:v>
      </x:c>
      <x:c r="H17" s="13" t="str">
        <x:v>V1.0 — ядро графика</x:v>
      </x:c>
      <x:c r="I17" s="14" t="str">
        <x:v>Функция пока отсутствует в текущей версии.</x:v>
      </x:c>
      <x:c r="J17" s="14" t="str">
        <x:v>Создать shift_types, shifts, assignments и версионируемый график.</x:v>
      </x:c>
      <x:c r="K17" s="13" t="str"/>
      <x:c r="L17" s="16"/>
      <x:c r="M17" s="14" t="str"/>
    </x:row>
    <x:row r="18" ht="42" customHeight="1">
      <x:c r="A18" s="13" t="str">
        <x:v>F-014</x:v>
      </x:c>
      <x:c r="B18" s="13" t="str">
        <x:v>2. Планирование рабочего графика</x:v>
      </x:c>
      <x:c r="C18" s="14" t="str">
        <x:v>Автоматическое составление графика по потребности в работниках</x:v>
      </x:c>
      <x:c r="D18" s="13" t="str">
        <x:v>Запланировано</x:v>
      </x:c>
      <x:c r="E18" s="15" t="n">
        <x:f>IF(D18="Реализовано",1,IF(D18="Частично",0.5,IF(D18="В разработке",0.25,0)))</x:f>
        <x:v>0</x:v>
      </x:c>
      <x:c r="F18" s="13" t="str">
        <x:v>Критический</x:v>
      </x:c>
      <x:c r="G18" s="13" t="str">
        <x:v>Да</x:v>
      </x:c>
      <x:c r="H18" s="13" t="str">
        <x:v>V1.0 — ядро графика</x:v>
      </x:c>
      <x:c r="I18" s="14" t="str">
        <x:v>Функция пока отсутствует в текущей версии.</x:v>
      </x:c>
      <x:c r="J18" s="14" t="str">
        <x:v>Создать shift_types, shifts, assignments и версионируемый график.</x:v>
      </x:c>
      <x:c r="K18" s="13" t="str"/>
      <x:c r="L18" s="16"/>
      <x:c r="M18" s="14" t="str"/>
    </x:row>
    <x:row r="19" ht="42" customHeight="1">
      <x:c r="A19" s="13" t="str">
        <x:v>F-015</x:v>
      </x:c>
      <x:c r="B19" s="13" t="str">
        <x:v>2. Планирование рабочего графика</x:v>
      </x:c>
      <x:c r="C19" s="14" t="str">
        <x:v>Равномерное распределение смен, выходных и рабочих часов</x:v>
      </x:c>
      <x:c r="D19" s="13" t="str">
        <x:v>Запланировано</x:v>
      </x:c>
      <x:c r="E19" s="15" t="n">
        <x:f>IF(D19="Реализовано",1,IF(D19="Частично",0.5,IF(D19="В разработке",0.25,0)))</x:f>
        <x:v>0</x:v>
      </x:c>
      <x:c r="F19" s="13" t="str">
        <x:v>Критический</x:v>
      </x:c>
      <x:c r="G19" s="13" t="str">
        <x:v>Да</x:v>
      </x:c>
      <x:c r="H19" s="13" t="str">
        <x:v>V1.0 — ядро графика</x:v>
      </x:c>
      <x:c r="I19" s="14" t="str">
        <x:v>Функция пока отсутствует в текущей версии.</x:v>
      </x:c>
      <x:c r="J19" s="14" t="str">
        <x:v>Создать shift_types, shifts, assignments и версионируемый график.</x:v>
      </x:c>
      <x:c r="K19" s="13" t="str"/>
      <x:c r="L19" s="16"/>
      <x:c r="M19" s="14" t="str"/>
    </x:row>
    <x:row r="20" ht="42" customHeight="1">
      <x:c r="A20" s="13" t="str">
        <x:v>F-016</x:v>
      </x:c>
      <x:c r="B20" s="13" t="str">
        <x:v>2. Планирование рабочего графика</x:v>
      </x:c>
      <x:c r="C20" s="14" t="str">
        <x:v>Учёт доступности, пожеланий, отпусков и больничных</x:v>
      </x:c>
      <x:c r="D20" s="13" t="str">
        <x:v>Запланировано</x:v>
      </x:c>
      <x:c r="E20" s="15" t="n">
        <x:f>IF(D20="Реализовано",1,IF(D20="Частично",0.5,IF(D20="В разработке",0.25,0)))</x:f>
        <x:v>0</x:v>
      </x:c>
      <x:c r="F20" s="13" t="str">
        <x:v>Критический</x:v>
      </x:c>
      <x:c r="G20" s="13" t="str">
        <x:v>Да</x:v>
      </x:c>
      <x:c r="H20" s="13" t="str">
        <x:v>V1.0 — ядро графика</x:v>
      </x:c>
      <x:c r="I20" s="14" t="str">
        <x:v>Функция пока отсутствует в текущей версии.</x:v>
      </x:c>
      <x:c r="J20" s="14" t="str">
        <x:v>Создать shift_types, shifts, assignments и версионируемый график.</x:v>
      </x:c>
      <x:c r="K20" s="13" t="str"/>
      <x:c r="L20" s="16"/>
      <x:c r="M20" s="14" t="str"/>
    </x:row>
    <x:row r="21" ht="42" customHeight="1">
      <x:c r="A21" s="13" t="str">
        <x:v>F-017</x:v>
      </x:c>
      <x:c r="B21" s="13" t="str">
        <x:v>2. Планирование рабочего графика</x:v>
      </x:c>
      <x:c r="C21" s="14" t="str">
        <x:v>Проверка минимального отдыха между сменами</x:v>
      </x:c>
      <x:c r="D21" s="13" t="str">
        <x:v>Запланировано</x:v>
      </x:c>
      <x:c r="E21" s="15" t="n">
        <x:f>IF(D21="Реализовано",1,IF(D21="Частично",0.5,IF(D21="В разработке",0.25,0)))</x:f>
        <x:v>0</x:v>
      </x:c>
      <x:c r="F21" s="13" t="str">
        <x:v>Критический</x:v>
      </x:c>
      <x:c r="G21" s="13" t="str">
        <x:v>Да</x:v>
      </x:c>
      <x:c r="H21" s="13" t="str">
        <x:v>V1.0 — ядро графика</x:v>
      </x:c>
      <x:c r="I21" s="14" t="str">
        <x:v>Функция пока отсутствует в текущей версии.</x:v>
      </x:c>
      <x:c r="J21" s="14" t="str">
        <x:v>Создать shift_types, shifts, assignments и версионируемый график.</x:v>
      </x:c>
      <x:c r="K21" s="13" t="str"/>
      <x:c r="L21" s="16"/>
      <x:c r="M21" s="14" t="str"/>
    </x:row>
    <x:row r="22" ht="42" customHeight="1">
      <x:c r="A22" s="13" t="str">
        <x:v>F-018</x:v>
      </x:c>
      <x:c r="B22" s="13" t="str">
        <x:v>2. Планирование рабочего графика</x:v>
      </x:c>
      <x:c r="C22" s="14" t="str">
        <x:v>Контроль нормы часов, переработок и сверхурочной работы</x:v>
      </x:c>
      <x:c r="D22" s="13" t="str">
        <x:v>Запланировано</x:v>
      </x:c>
      <x:c r="E22" s="15" t="n">
        <x:f>IF(D22="Реализовано",1,IF(D22="Частично",0.5,IF(D22="В разработке",0.25,0)))</x:f>
        <x:v>0</x:v>
      </x:c>
      <x:c r="F22" s="13" t="str">
        <x:v>Критический</x:v>
      </x:c>
      <x:c r="G22" s="13" t="str">
        <x:v>Да</x:v>
      </x:c>
      <x:c r="H22" s="13" t="str">
        <x:v>V1.0 — ядро графика</x:v>
      </x:c>
      <x:c r="I22" s="14" t="str">
        <x:v>Функция пока отсутствует в текущей версии.</x:v>
      </x:c>
      <x:c r="J22" s="14" t="str">
        <x:v>Создать shift_types, shifts, assignments и версионируемый график.</x:v>
      </x:c>
      <x:c r="K22" s="13" t="str"/>
      <x:c r="L22" s="16"/>
      <x:c r="M22" s="14" t="str"/>
    </x:row>
    <x:row r="23" ht="42" customHeight="1">
      <x:c r="A23" s="13" t="str">
        <x:v>F-019</x:v>
      </x:c>
      <x:c r="B23" s="13" t="str">
        <x:v>2. Планирование рабочего графика</x:v>
      </x:c>
      <x:c r="C23" s="14" t="str">
        <x:v>Предупреждение о пересечении смен и конфликтах</x:v>
      </x:c>
      <x:c r="D23" s="13" t="str">
        <x:v>Запланировано</x:v>
      </x:c>
      <x:c r="E23" s="15" t="n">
        <x:f>IF(D23="Реализовано",1,IF(D23="Частично",0.5,IF(D23="В разработке",0.25,0)))</x:f>
        <x:v>0</x:v>
      </x:c>
      <x:c r="F23" s="13" t="str">
        <x:v>Критический</x:v>
      </x:c>
      <x:c r="G23" s="13" t="str">
        <x:v>Да</x:v>
      </x:c>
      <x:c r="H23" s="13" t="str">
        <x:v>V1.0 — ядро графика</x:v>
      </x:c>
      <x:c r="I23" s="14" t="str">
        <x:v>Функция пока отсутствует в текущей версии.</x:v>
      </x:c>
      <x:c r="J23" s="14" t="str">
        <x:v>Создать shift_types, shifts, assignments и версионируемый график.</x:v>
      </x:c>
      <x:c r="K23" s="13" t="str"/>
      <x:c r="L23" s="16"/>
      <x:c r="M23" s="14" t="str"/>
    </x:row>
    <x:row r="24" ht="42" customHeight="1">
      <x:c r="A24" s="13" t="str">
        <x:v>F-020</x:v>
      </x:c>
      <x:c r="B24" s="13" t="str">
        <x:v>2. Планирование рабочего графика</x:v>
      </x:c>
      <x:c r="C24" s="14" t="str">
        <x:v>Предупреждение о недостаточном количестве сотрудников</x:v>
      </x:c>
      <x:c r="D24" s="13" t="str">
        <x:v>Запланировано</x:v>
      </x:c>
      <x:c r="E24" s="15" t="n">
        <x:f>IF(D24="Реализовано",1,IF(D24="Частично",0.5,IF(D24="В разработке",0.25,0)))</x:f>
        <x:v>0</x:v>
      </x:c>
      <x:c r="F24" s="13" t="str">
        <x:v>Критический</x:v>
      </x:c>
      <x:c r="G24" s="13" t="str">
        <x:v>Да</x:v>
      </x:c>
      <x:c r="H24" s="13" t="str">
        <x:v>V1.0 — ядро графика</x:v>
      </x:c>
      <x:c r="I24" s="14" t="str">
        <x:v>Функция пока отсутствует в текущей версии.</x:v>
      </x:c>
      <x:c r="J24" s="14" t="str">
        <x:v>Создать shift_types, shifts, assignments и версионируемый график.</x:v>
      </x:c>
      <x:c r="K24" s="13" t="str"/>
      <x:c r="L24" s="16"/>
      <x:c r="M24" s="14" t="str"/>
    </x:row>
    <x:row r="25" ht="42" customHeight="1">
      <x:c r="A25" s="13" t="str">
        <x:v>F-021</x:v>
      </x:c>
      <x:c r="B25" s="13" t="str">
        <x:v>2. Планирование рабочего графика</x:v>
      </x:c>
      <x:c r="C25" s="14" t="str">
        <x:v>Несколько вариантов графика до утверждения</x:v>
      </x:c>
      <x:c r="D25" s="13" t="str">
        <x:v>Запланировано</x:v>
      </x:c>
      <x:c r="E25" s="15" t="n">
        <x:f>IF(D25="Реализовано",1,IF(D25="Частично",0.5,IF(D25="В разработке",0.25,0)))</x:f>
        <x:v>0</x:v>
      </x:c>
      <x:c r="F25" s="13" t="str">
        <x:v>Критический</x:v>
      </x:c>
      <x:c r="G25" s="13" t="str">
        <x:v>Да</x:v>
      </x:c>
      <x:c r="H25" s="13" t="str">
        <x:v>V1.0 — ядро графика</x:v>
      </x:c>
      <x:c r="I25" s="14" t="str">
        <x:v>Функция пока отсутствует в текущей версии.</x:v>
      </x:c>
      <x:c r="J25" s="14" t="str">
        <x:v>Создать shift_types, shifts, assignments и версионируемый график.</x:v>
      </x:c>
      <x:c r="K25" s="13" t="str"/>
      <x:c r="L25" s="16"/>
      <x:c r="M25" s="14" t="str"/>
    </x:row>
    <x:row r="26" ht="42" customHeight="1">
      <x:c r="A26" s="13" t="str">
        <x:v>F-022</x:v>
      </x:c>
      <x:c r="B26" s="13" t="str">
        <x:v>2. Планирование рабочего графика</x:v>
      </x:c>
      <x:c r="C26" s="14" t="str">
        <x:v>Публикация утверждённого графика сотрудникам</x:v>
      </x:c>
      <x:c r="D26" s="13" t="str">
        <x:v>Запланировано</x:v>
      </x:c>
      <x:c r="E26" s="15" t="n">
        <x:f>IF(D26="Реализовано",1,IF(D26="Частично",0.5,IF(D26="В разработке",0.25,0)))</x:f>
        <x:v>0</x:v>
      </x:c>
      <x:c r="F26" s="13" t="str">
        <x:v>Критический</x:v>
      </x:c>
      <x:c r="G26" s="13" t="str">
        <x:v>Да</x:v>
      </x:c>
      <x:c r="H26" s="13" t="str">
        <x:v>V1.0 — ядро графика</x:v>
      </x:c>
      <x:c r="I26" s="14" t="str">
        <x:v>Функция пока отсутствует в текущей версии.</x:v>
      </x:c>
      <x:c r="J26" s="14" t="str">
        <x:v>Создать shift_types, shifts, assignments и версионируемый график.</x:v>
      </x:c>
      <x:c r="K26" s="13" t="str"/>
      <x:c r="L26" s="16"/>
      <x:c r="M26" s="14" t="str"/>
    </x:row>
    <x:row r="27" ht="42" customHeight="1">
      <x:c r="A27" s="13" t="str">
        <x:v>F-023</x:v>
      </x:c>
      <x:c r="B27" s="13" t="str">
        <x:v>3. Отпуска и отсутствия</x:v>
      </x:c>
      <x:c r="C27" s="14" t="str">
        <x:v>Регистрация ежегодного и дополнительного отпуска</x:v>
      </x:c>
      <x:c r="D27" s="13" t="str">
        <x:v>Частично</x:v>
      </x:c>
      <x:c r="E27" s="15" t="n">
        <x:f>IF(D27="Реализовано",1,IF(D27="Частично",0.5,IF(D27="В разработке",0.25,0)))</x:f>
        <x:v>0.5</x:v>
      </x:c>
      <x:c r="F27" s="13" t="str">
        <x:v>Высокий</x:v>
      </x:c>
      <x:c r="G27" s="13" t="str">
        <x:v>Да</x:v>
      </x:c>
      <x:c r="H27" s="13" t="str">
        <x:v>V1.0 — отсутствия и заявки</x:v>
      </x:c>
      <x:c r="I27" s="14" t="str">
        <x:v>Есть базовая модель или интерфейс, но полный рабочий сценарий ещё не завершён.</x:v>
      </x:c>
      <x:c r="J27" s="14" t="str">
        <x:v>Создать типы отсутствий, периоды, документы и историю изменений.</x:v>
      </x:c>
      <x:c r="K27" s="13" t="str"/>
      <x:c r="L27" s="16"/>
      <x:c r="M27" s="14" t="str"/>
    </x:row>
    <x:row r="28" ht="42" customHeight="1">
      <x:c r="A28" s="13" t="str">
        <x:v>F-024</x:v>
      </x:c>
      <x:c r="B28" s="13" t="str">
        <x:v>3. Отпуска и отсутствия</x:v>
      </x:c>
      <x:c r="C28" s="14" t="str">
        <x:v>Регистрация больничного</x:v>
      </x:c>
      <x:c r="D28" s="13" t="str">
        <x:v>Частично</x:v>
      </x:c>
      <x:c r="E28" s="15" t="n">
        <x:f>IF(D28="Реализовано",1,IF(D28="Частично",0.5,IF(D28="В разработке",0.25,0)))</x:f>
        <x:v>0.5</x:v>
      </x:c>
      <x:c r="F28" s="13" t="str">
        <x:v>Высокий</x:v>
      </x:c>
      <x:c r="G28" s="13" t="str">
        <x:v>Да</x:v>
      </x:c>
      <x:c r="H28" s="13" t="str">
        <x:v>V1.0 — отсутствия и заявки</x:v>
      </x:c>
      <x:c r="I28" s="14" t="str">
        <x:v>Есть базовая модель или интерфейс, но полный рабочий сценарий ещё не завершён.</x:v>
      </x:c>
      <x:c r="J28" s="14" t="str">
        <x:v>Создать типы отсутствий, периоды, документы и историю изменений.</x:v>
      </x:c>
      <x:c r="K28" s="13" t="str"/>
      <x:c r="L28" s="16"/>
      <x:c r="M28" s="14" t="str"/>
    </x:row>
    <x:row r="29" ht="42" customHeight="1">
      <x:c r="A29" s="13" t="str">
        <x:v>F-025</x:v>
      </x:c>
      <x:c r="B29" s="13" t="str">
        <x:v>3. Отпуска и отсутствия</x:v>
      </x:c>
      <x:c r="C29" s="14" t="str">
        <x:v>Регистрация отгула</x:v>
      </x:c>
      <x:c r="D29" s="13" t="str">
        <x:v>Запланировано</x:v>
      </x:c>
      <x:c r="E29" s="15" t="n">
        <x:f>IF(D29="Реализовано",1,IF(D29="Частично",0.5,IF(D29="В разработке",0.25,0)))</x:f>
        <x:v>0</x:v>
      </x:c>
      <x:c r="F29" s="13" t="str">
        <x:v>Высокий</x:v>
      </x:c>
      <x:c r="G29" s="13" t="str">
        <x:v>Да</x:v>
      </x:c>
      <x:c r="H29" s="13" t="str">
        <x:v>V1.0 — отсутствия и заявки</x:v>
      </x:c>
      <x:c r="I29" s="14" t="str">
        <x:v>Функция пока отсутствует в текущей версии.</x:v>
      </x:c>
      <x:c r="J29" s="14" t="str">
        <x:v>Создать типы отсутствий, периоды, документы и историю изменений.</x:v>
      </x:c>
      <x:c r="K29" s="13" t="str"/>
      <x:c r="L29" s="16"/>
      <x:c r="M29" s="14" t="str"/>
    </x:row>
    <x:row r="30" ht="42" customHeight="1">
      <x:c r="A30" s="13" t="str">
        <x:v>F-026</x:v>
      </x:c>
      <x:c r="B30" s="13" t="str">
        <x:v>3. Отпуска и отсутствия</x:v>
      </x:c>
      <x:c r="C30" s="14" t="str">
        <x:v>Регистрация командировки</x:v>
      </x:c>
      <x:c r="D30" s="13" t="str">
        <x:v>Запланировано</x:v>
      </x:c>
      <x:c r="E30" s="15" t="n">
        <x:f>IF(D30="Реализовано",1,IF(D30="Частично",0.5,IF(D30="В разработке",0.25,0)))</x:f>
        <x:v>0</x:v>
      </x:c>
      <x:c r="F30" s="13" t="str">
        <x:v>Высокий</x:v>
      </x:c>
      <x:c r="G30" s="13" t="str">
        <x:v>Да</x:v>
      </x:c>
      <x:c r="H30" s="13" t="str">
        <x:v>V1.0 — отсутствия и заявки</x:v>
      </x:c>
      <x:c r="I30" s="14" t="str">
        <x:v>Функция пока отсутствует в текущей версии.</x:v>
      </x:c>
      <x:c r="J30" s="14" t="str">
        <x:v>Создать типы отсутствий, периоды, документы и историю изменений.</x:v>
      </x:c>
      <x:c r="K30" s="13" t="str"/>
      <x:c r="L30" s="16"/>
      <x:c r="M30" s="14" t="str"/>
    </x:row>
    <x:row r="31" ht="42" customHeight="1">
      <x:c r="A31" s="13" t="str">
        <x:v>F-027</x:v>
      </x:c>
      <x:c r="B31" s="13" t="str">
        <x:v>3. Отпуска и отсутствия</x:v>
      </x:c>
      <x:c r="C31" s="14" t="str">
        <x:v>Регистрация учебного отпуска</x:v>
      </x:c>
      <x:c r="D31" s="13" t="str">
        <x:v>Запланировано</x:v>
      </x:c>
      <x:c r="E31" s="15" t="n">
        <x:f>IF(D31="Реализовано",1,IF(D31="Частично",0.5,IF(D31="В разработке",0.25,0)))</x:f>
        <x:v>0</x:v>
      </x:c>
      <x:c r="F31" s="13" t="str">
        <x:v>Высокий</x:v>
      </x:c>
      <x:c r="G31" s="13" t="str">
        <x:v>Да</x:v>
      </x:c>
      <x:c r="H31" s="13" t="str">
        <x:v>V1.0 — отсутствия и заявки</x:v>
      </x:c>
      <x:c r="I31" s="14" t="str">
        <x:v>Функция пока отсутствует в текущей версии.</x:v>
      </x:c>
      <x:c r="J31" s="14" t="str">
        <x:v>Создать типы отсутствий, периоды, документы и историю изменений.</x:v>
      </x:c>
      <x:c r="K31" s="13" t="str"/>
      <x:c r="L31" s="16"/>
      <x:c r="M31" s="14" t="str"/>
    </x:row>
    <x:row r="32" ht="42" customHeight="1">
      <x:c r="A32" s="13" t="str">
        <x:v>F-028</x:v>
      </x:c>
      <x:c r="B32" s="13" t="str">
        <x:v>3. Отпуска и отсутствия</x:v>
      </x:c>
      <x:c r="C32" s="14" t="str">
        <x:v>Регистрация отпуска без сохранения заработной платы</x:v>
      </x:c>
      <x:c r="D32" s="13" t="str">
        <x:v>Запланировано</x:v>
      </x:c>
      <x:c r="E32" s="15" t="n">
        <x:f>IF(D32="Реализовано",1,IF(D32="Частично",0.5,IF(D32="В разработке",0.25,0)))</x:f>
        <x:v>0</x:v>
      </x:c>
      <x:c r="F32" s="13" t="str">
        <x:v>Высокий</x:v>
      </x:c>
      <x:c r="G32" s="13" t="str">
        <x:v>Да</x:v>
      </x:c>
      <x:c r="H32" s="13" t="str">
        <x:v>V1.0 — отсутствия и заявки</x:v>
      </x:c>
      <x:c r="I32" s="14" t="str">
        <x:v>Функция пока отсутствует в текущей версии.</x:v>
      </x:c>
      <x:c r="J32" s="14" t="str">
        <x:v>Создать типы отсутствий, периоды, документы и историю изменений.</x:v>
      </x:c>
      <x:c r="K32" s="13" t="str"/>
      <x:c r="L32" s="16"/>
      <x:c r="M32" s="14" t="str"/>
    </x:row>
    <x:row r="33" ht="42" customHeight="1">
      <x:c r="A33" s="13" t="str">
        <x:v>F-029</x:v>
      </x:c>
      <x:c r="B33" s="13" t="str">
        <x:v>3. Отпуска и отсутствия</x:v>
      </x:c>
      <x:c r="C33" s="14" t="str">
        <x:v>Регистрация неявки и пользовательских видов отсутствия</x:v>
      </x:c>
      <x:c r="D33" s="13" t="str">
        <x:v>Частично</x:v>
      </x:c>
      <x:c r="E33" s="15" t="n">
        <x:f>IF(D33="Реализовано",1,IF(D33="Частично",0.5,IF(D33="В разработке",0.25,0)))</x:f>
        <x:v>0.5</x:v>
      </x:c>
      <x:c r="F33" s="13" t="str">
        <x:v>Высокий</x:v>
      </x:c>
      <x:c r="G33" s="13" t="str">
        <x:v>Да</x:v>
      </x:c>
      <x:c r="H33" s="13" t="str">
        <x:v>V1.0 — отсутствия и заявки</x:v>
      </x:c>
      <x:c r="I33" s="14" t="str">
        <x:v>Есть базовая модель или интерфейс, но полный рабочий сценарий ещё не завершён.</x:v>
      </x:c>
      <x:c r="J33" s="14" t="str">
        <x:v>Создать типы отсутствий, периоды, документы и историю изменений.</x:v>
      </x:c>
      <x:c r="K33" s="13" t="str"/>
      <x:c r="L33" s="16"/>
      <x:c r="M33" s="14" t="str"/>
    </x:row>
    <x:row r="34" ht="42" customHeight="1">
      <x:c r="A34" s="13" t="str">
        <x:v>F-030</x:v>
      </x:c>
      <x:c r="B34" s="13" t="str">
        <x:v>3. Отпуска и отсутствия</x:v>
      </x:c>
      <x:c r="C34" s="14" t="str">
        <x:v>Цветовое обозначение каждого вида отсутствия</x:v>
      </x:c>
      <x:c r="D34" s="13" t="str">
        <x:v>Частично</x:v>
      </x:c>
      <x:c r="E34" s="15" t="n">
        <x:f>IF(D34="Реализовано",1,IF(D34="Частично",0.5,IF(D34="В разработке",0.25,0)))</x:f>
        <x:v>0.5</x:v>
      </x:c>
      <x:c r="F34" s="13" t="str">
        <x:v>Высокий</x:v>
      </x:c>
      <x:c r="G34" s="13" t="str">
        <x:v>Да</x:v>
      </x:c>
      <x:c r="H34" s="13" t="str">
        <x:v>V1.0 — отсутствия и заявки</x:v>
      </x:c>
      <x:c r="I34" s="14" t="str">
        <x:v>Есть базовая модель или интерфейс, но полный рабочий сценарий ещё не завершён.</x:v>
      </x:c>
      <x:c r="J34" s="14" t="str">
        <x:v>Создать типы отсутствий, периоды, документы и историю изменений.</x:v>
      </x:c>
      <x:c r="K34" s="13" t="str"/>
      <x:c r="L34" s="16"/>
      <x:c r="M34" s="14" t="str"/>
    </x:row>
    <x:row r="35" ht="42" customHeight="1">
      <x:c r="A35" s="13" t="str">
        <x:v>F-031</x:v>
      </x:c>
      <x:c r="B35" s="13" t="str">
        <x:v>3. Отпуска и отсутствия</x:v>
      </x:c>
      <x:c r="C35" s="14" t="str">
        <x:v>Отображение отсутствий в общем календаре</x:v>
      </x:c>
      <x:c r="D35" s="13" t="str">
        <x:v>Частично</x:v>
      </x:c>
      <x:c r="E35" s="15" t="n">
        <x:f>IF(D35="Реализовано",1,IF(D35="Частично",0.5,IF(D35="В разработке",0.25,0)))</x:f>
        <x:v>0.5</x:v>
      </x:c>
      <x:c r="F35" s="13" t="str">
        <x:v>Высокий</x:v>
      </x:c>
      <x:c r="G35" s="13" t="str">
        <x:v>Да</x:v>
      </x:c>
      <x:c r="H35" s="13" t="str">
        <x:v>V1.0 — отсутствия и заявки</x:v>
      </x:c>
      <x:c r="I35" s="14" t="str">
        <x:v>Есть базовая модель или интерфейс, но полный рабочий сценарий ещё не завершён.</x:v>
      </x:c>
      <x:c r="J35" s="14" t="str">
        <x:v>Создать типы отсутствий, периоды, документы и историю изменений.</x:v>
      </x:c>
      <x:c r="K35" s="13" t="str"/>
      <x:c r="L35" s="16"/>
      <x:c r="M35" s="14" t="str"/>
    </x:row>
    <x:row r="36" ht="42" customHeight="1">
      <x:c r="A36" s="13" t="str">
        <x:v>F-032</x:v>
      </x:c>
      <x:c r="B36" s="13" t="str">
        <x:v>3. Отпуска и отсутствия</x:v>
      </x:c>
      <x:c r="C36" s="14" t="str">
        <x:v>Учёт доступных, использованных, запланированных и оставшихся дней отпуска</x:v>
      </x:c>
      <x:c r="D36" s="13" t="str">
        <x:v>Запланировано</x:v>
      </x:c>
      <x:c r="E36" s="15" t="n">
        <x:f>IF(D36="Реализовано",1,IF(D36="Частично",0.5,IF(D36="В разработке",0.25,0)))</x:f>
        <x:v>0</x:v>
      </x:c>
      <x:c r="F36" s="13" t="str">
        <x:v>Высокий</x:v>
      </x:c>
      <x:c r="G36" s="13" t="str">
        <x:v>Да</x:v>
      </x:c>
      <x:c r="H36" s="13" t="str">
        <x:v>V1.0 — отсутствия и заявки</x:v>
      </x:c>
      <x:c r="I36" s="14" t="str">
        <x:v>Функция пока отсутствует в текущей версии.</x:v>
      </x:c>
      <x:c r="J36" s="14" t="str">
        <x:v>Создать типы отсутствий, периоды, документы и историю изменений.</x:v>
      </x:c>
      <x:c r="K36" s="13" t="str"/>
      <x:c r="L36" s="16"/>
      <x:c r="M36" s="14" t="str"/>
    </x:row>
    <x:row r="37" ht="42" customHeight="1">
      <x:c r="A37" s="13" t="str">
        <x:v>F-033</x:v>
      </x:c>
      <x:c r="B37" s="13" t="str">
        <x:v>3. Отпуска и отсутствия</x:v>
      </x:c>
      <x:c r="C37" s="14" t="str">
        <x:v>Предупреждение о пересечении отпусков сотрудников подразделения</x:v>
      </x:c>
      <x:c r="D37" s="13" t="str">
        <x:v>Запланировано</x:v>
      </x:c>
      <x:c r="E37" s="15" t="n">
        <x:f>IF(D37="Реализовано",1,IF(D37="Частично",0.5,IF(D37="В разработке",0.25,0)))</x:f>
        <x:v>0</x:v>
      </x:c>
      <x:c r="F37" s="13" t="str">
        <x:v>Высокий</x:v>
      </x:c>
      <x:c r="G37" s="13" t="str">
        <x:v>Да</x:v>
      </x:c>
      <x:c r="H37" s="13" t="str">
        <x:v>V1.0 — отсутствия и заявки</x:v>
      </x:c>
      <x:c r="I37" s="14" t="str">
        <x:v>Функция пока отсутствует в текущей версии.</x:v>
      </x:c>
      <x:c r="J37" s="14" t="str">
        <x:v>Создать типы отсутствий, периоды, документы и историю изменений.</x:v>
      </x:c>
      <x:c r="K37" s="13" t="str"/>
      <x:c r="L37" s="16"/>
      <x:c r="M37" s="14" t="str"/>
    </x:row>
    <x:row r="38" ht="42" customHeight="1">
      <x:c r="A38" s="13" t="str">
        <x:v>F-034</x:v>
      </x:c>
      <x:c r="B38" s="13" t="str">
        <x:v>3. Отпуска и отсутствия</x:v>
      </x:c>
      <x:c r="C38" s="14" t="str">
        <x:v>Прикрепление заявлений, больничных листов и документов</x:v>
      </x:c>
      <x:c r="D38" s="13" t="str">
        <x:v>Запланировано</x:v>
      </x:c>
      <x:c r="E38" s="15" t="n">
        <x:f>IF(D38="Реализовано",1,IF(D38="Частично",0.5,IF(D38="В разработке",0.25,0)))</x:f>
        <x:v>0</x:v>
      </x:c>
      <x:c r="F38" s="13" t="str">
        <x:v>Высокий</x:v>
      </x:c>
      <x:c r="G38" s="13" t="str">
        <x:v>Да</x:v>
      </x:c>
      <x:c r="H38" s="13" t="str">
        <x:v>V1.0 — отсутствия и заявки</x:v>
      </x:c>
      <x:c r="I38" s="14" t="str">
        <x:v>Функция пока отсутствует в текущей версии.</x:v>
      </x:c>
      <x:c r="J38" s="14" t="str">
        <x:v>Создать типы отсутствий, периоды, документы и историю изменений.</x:v>
      </x:c>
      <x:c r="K38" s="13" t="str"/>
      <x:c r="L38" s="16"/>
      <x:c r="M38" s="14" t="str"/>
    </x:row>
    <x:row r="39" ht="42" customHeight="1">
      <x:c r="A39" s="13" t="str">
        <x:v>F-035</x:v>
      </x:c>
      <x:c r="B39" s="13" t="str">
        <x:v>3. Отпуска и отсутствия</x:v>
      </x:c>
      <x:c r="C39" s="14" t="str">
        <x:v>Перенос или продление отпуска при пересечении с больничным</x:v>
      </x:c>
      <x:c r="D39" s="13" t="str">
        <x:v>Запланировано</x:v>
      </x:c>
      <x:c r="E39" s="15" t="n">
        <x:f>IF(D39="Реализовано",1,IF(D39="Частично",0.5,IF(D39="В разработке",0.25,0)))</x:f>
        <x:v>0</x:v>
      </x:c>
      <x:c r="F39" s="13" t="str">
        <x:v>Высокий</x:v>
      </x:c>
      <x:c r="G39" s="13" t="str">
        <x:v>Да</x:v>
      </x:c>
      <x:c r="H39" s="13" t="str">
        <x:v>V1.0 — отсутствия и заявки</x:v>
      </x:c>
      <x:c r="I39" s="14" t="str">
        <x:v>Функция пока отсутствует в текущей версии.</x:v>
      </x:c>
      <x:c r="J39" s="14" t="str">
        <x:v>Создать типы отсутствий, периоды, документы и историю изменений.</x:v>
      </x:c>
      <x:c r="K39" s="13" t="str"/>
      <x:c r="L39" s="16"/>
      <x:c r="M39" s="14" t="str"/>
    </x:row>
    <x:row r="40" ht="42" customHeight="1">
      <x:c r="A40" s="13" t="str">
        <x:v>F-036</x:v>
      </x:c>
      <x:c r="B40" s="13" t="str">
        <x:v>3. Отпуска и отсутствия</x:v>
      </x:c>
      <x:c r="C40" s="14" t="str">
        <x:v>История переноса и изменения отсутствий</x:v>
      </x:c>
      <x:c r="D40" s="13" t="str">
        <x:v>Запланировано</x:v>
      </x:c>
      <x:c r="E40" s="15" t="n">
        <x:f>IF(D40="Реализовано",1,IF(D40="Частично",0.5,IF(D40="В разработке",0.25,0)))</x:f>
        <x:v>0</x:v>
      </x:c>
      <x:c r="F40" s="13" t="str">
        <x:v>Высокий</x:v>
      </x:c>
      <x:c r="G40" s="13" t="str">
        <x:v>Да</x:v>
      </x:c>
      <x:c r="H40" s="13" t="str">
        <x:v>V1.0 — отсутствия и заявки</x:v>
      </x:c>
      <x:c r="I40" s="14" t="str">
        <x:v>Функция пока отсутствует в текущей версии.</x:v>
      </x:c>
      <x:c r="J40" s="14" t="str">
        <x:v>Создать типы отсутствий, периоды, документы и историю изменений.</x:v>
      </x:c>
      <x:c r="K40" s="13" t="str"/>
      <x:c r="L40" s="16"/>
      <x:c r="M40" s="14" t="str"/>
    </x:row>
    <x:row r="41" ht="42" customHeight="1">
      <x:c r="A41" s="13" t="str">
        <x:v>F-037</x:v>
      </x:c>
      <x:c r="B41" s="13" t="str">
        <x:v>4. Заявки сотрудников</x:v>
      </x:c>
      <x:c r="C41" s="14" t="str">
        <x:v>Подача заявки на отпуск, отгул, больничный или изменение графика</x:v>
      </x:c>
      <x:c r="D41" s="13" t="str">
        <x:v>Запланировано</x:v>
      </x:c>
      <x:c r="E41" s="15" t="n">
        <x:f>IF(D41="Реализовано",1,IF(D41="Частично",0.5,IF(D41="В разработке",0.25,0)))</x:f>
        <x:v>0</x:v>
      </x:c>
      <x:c r="F41" s="13" t="str">
        <x:v>Высокий</x:v>
      </x:c>
      <x:c r="G41" s="13" t="str">
        <x:v>Да</x:v>
      </x:c>
      <x:c r="H41" s="13" t="str">
        <x:v>V1.0 — отсутствия и заявки</x:v>
      </x:c>
      <x:c r="I41" s="14" t="str">
        <x:v>Функция пока отсутствует в текущей версии.</x:v>
      </x:c>
      <x:c r="J41" s="14" t="str">
        <x:v>Добавить заявки и одноэтапное согласование руководителем.</x:v>
      </x:c>
      <x:c r="K41" s="13" t="str"/>
      <x:c r="L41" s="16"/>
      <x:c r="M41" s="14" t="str"/>
    </x:row>
    <x:row r="42" ht="42" customHeight="1">
      <x:c r="A42" s="13" t="str">
        <x:v>F-038</x:v>
      </x:c>
      <x:c r="B42" s="13" t="str">
        <x:v>4. Заявки сотрудников</x:v>
      </x:c>
      <x:c r="C42" s="14" t="str">
        <x:v>Указание периода, причины и комментария к заявке</x:v>
      </x:c>
      <x:c r="D42" s="13" t="str">
        <x:v>Запланировано</x:v>
      </x:c>
      <x:c r="E42" s="15" t="n">
        <x:f>IF(D42="Реализовано",1,IF(D42="Частично",0.5,IF(D42="В разработке",0.25,0)))</x:f>
        <x:v>0</x:v>
      </x:c>
      <x:c r="F42" s="13" t="str">
        <x:v>Высокий</x:v>
      </x:c>
      <x:c r="G42" s="13" t="str">
        <x:v>Да</x:v>
      </x:c>
      <x:c r="H42" s="13" t="str">
        <x:v>V1.0 — отсутствия и заявки</x:v>
      </x:c>
      <x:c r="I42" s="14" t="str">
        <x:v>Функция пока отсутствует в текущей версии.</x:v>
      </x:c>
      <x:c r="J42" s="14" t="str">
        <x:v>Добавить заявки и одноэтапное согласование руководителем.</x:v>
      </x:c>
      <x:c r="K42" s="13" t="str"/>
      <x:c r="L42" s="16"/>
      <x:c r="M42" s="14" t="str"/>
    </x:row>
    <x:row r="43" ht="42" customHeight="1">
      <x:c r="A43" s="13" t="str">
        <x:v>F-039</x:v>
      </x:c>
      <x:c r="B43" s="13" t="str">
        <x:v>4. Заявки сотрудников</x:v>
      </x:c>
      <x:c r="C43" s="14" t="str">
        <x:v>Прикрепление подтверждающих документов</x:v>
      </x:c>
      <x:c r="D43" s="13" t="str">
        <x:v>Запланировано</x:v>
      </x:c>
      <x:c r="E43" s="15" t="n">
        <x:f>IF(D43="Реализовано",1,IF(D43="Частично",0.5,IF(D43="В разработке",0.25,0)))</x:f>
        <x:v>0</x:v>
      </x:c>
      <x:c r="F43" s="13" t="str">
        <x:v>Высокий</x:v>
      </x:c>
      <x:c r="G43" s="13" t="str">
        <x:v>Да</x:v>
      </x:c>
      <x:c r="H43" s="13" t="str">
        <x:v>V1.0 — отсутствия и заявки</x:v>
      </x:c>
      <x:c r="I43" s="14" t="str">
        <x:v>Функция пока отсутствует в текущей версии.</x:v>
      </x:c>
      <x:c r="J43" s="14" t="str">
        <x:v>Добавить заявки и одноэтапное согласование руководителем.</x:v>
      </x:c>
      <x:c r="K43" s="13" t="str"/>
      <x:c r="L43" s="16"/>
      <x:c r="M43" s="14" t="str"/>
    </x:row>
    <x:row r="44" ht="42" customHeight="1">
      <x:c r="A44" s="13" t="str">
        <x:v>F-040</x:v>
      </x:c>
      <x:c r="B44" s="13" t="str">
        <x:v>4. Заявки сотрудников</x:v>
      </x:c>
      <x:c r="C44" s="14" t="str">
        <x:v>Просмотр текущего статуса заявки</x:v>
      </x:c>
      <x:c r="D44" s="13" t="str">
        <x:v>Запланировано</x:v>
      </x:c>
      <x:c r="E44" s="15" t="n">
        <x:f>IF(D44="Реализовано",1,IF(D44="Частично",0.5,IF(D44="В разработке",0.25,0)))</x:f>
        <x:v>0</x:v>
      </x:c>
      <x:c r="F44" s="13" t="str">
        <x:v>Высокий</x:v>
      </x:c>
      <x:c r="G44" s="13" t="str">
        <x:v>Да</x:v>
      </x:c>
      <x:c r="H44" s="13" t="str">
        <x:v>V1.0 — отсутствия и заявки</x:v>
      </x:c>
      <x:c r="I44" s="14" t="str">
        <x:v>Функция пока отсутствует в текущей версии.</x:v>
      </x:c>
      <x:c r="J44" s="14" t="str">
        <x:v>Добавить заявки и одноэтапное согласование руководителем.</x:v>
      </x:c>
      <x:c r="K44" s="13" t="str"/>
      <x:c r="L44" s="16"/>
      <x:c r="M44" s="14" t="str"/>
    </x:row>
    <x:row r="45" ht="42" customHeight="1">
      <x:c r="A45" s="13" t="str">
        <x:v>F-041</x:v>
      </x:c>
      <x:c r="B45" s="13" t="str">
        <x:v>4. Заявки сотрудников</x:v>
      </x:c>
      <x:c r="C45" s="14" t="str">
        <x:v>Согласование или отклонение заявки руководителем</x:v>
      </x:c>
      <x:c r="D45" s="13" t="str">
        <x:v>Запланировано</x:v>
      </x:c>
      <x:c r="E45" s="15" t="n">
        <x:f>IF(D45="Реализовано",1,IF(D45="Частично",0.5,IF(D45="В разработке",0.25,0)))</x:f>
        <x:v>0</x:v>
      </x:c>
      <x:c r="F45" s="13" t="str">
        <x:v>Высокий</x:v>
      </x:c>
      <x:c r="G45" s="13" t="str">
        <x:v>Да</x:v>
      </x:c>
      <x:c r="H45" s="13" t="str">
        <x:v>V1.0 — отсутствия и заявки</x:v>
      </x:c>
      <x:c r="I45" s="14" t="str">
        <x:v>Функция пока отсутствует в текущей версии.</x:v>
      </x:c>
      <x:c r="J45" s="14" t="str">
        <x:v>Добавить заявки и одноэтапное согласование руководителем.</x:v>
      </x:c>
      <x:c r="K45" s="13" t="str"/>
      <x:c r="L45" s="16"/>
      <x:c r="M45" s="14" t="str"/>
    </x:row>
    <x:row r="46" ht="42" customHeight="1">
      <x:c r="A46" s="13" t="str">
        <x:v>F-042</x:v>
      </x:c>
      <x:c r="B46" s="13" t="str">
        <x:v>4. Заявки сотрудников</x:v>
      </x:c>
      <x:c r="C46" s="14" t="str">
        <x:v>Несколько этапов согласования</x:v>
      </x:c>
      <x:c r="D46" s="13" t="str">
        <x:v>Запланировано</x:v>
      </x:c>
      <x:c r="E46" s="15" t="n">
        <x:f>IF(D46="Реализовано",1,IF(D46="Частично",0.5,IF(D46="В разработке",0.25,0)))</x:f>
        <x:v>0</x:v>
      </x:c>
      <x:c r="F46" s="13" t="str">
        <x:v>Высокий</x:v>
      </x:c>
      <x:c r="G46" s="13" t="str">
        <x:v>Да</x:v>
      </x:c>
      <x:c r="H46" s="13" t="str">
        <x:v>V1.0 — отсутствия и заявки</x:v>
      </x:c>
      <x:c r="I46" s="14" t="str">
        <x:v>Функция пока отсутствует в текущей версии.</x:v>
      </x:c>
      <x:c r="J46" s="14" t="str">
        <x:v>Добавить заявки и одноэтапное согласование руководителем.</x:v>
      </x:c>
      <x:c r="K46" s="13" t="str"/>
      <x:c r="L46" s="16"/>
      <x:c r="M46" s="14" t="str"/>
    </x:row>
    <x:row r="47" ht="42" customHeight="1">
      <x:c r="A47" s="13" t="str">
        <x:v>F-043</x:v>
      </x:c>
      <x:c r="B47" s="13" t="str">
        <x:v>4. Заявки сотрудников</x:v>
      </x:c>
      <x:c r="C47" s="14" t="str">
        <x:v>Указание причины отказа</x:v>
      </x:c>
      <x:c r="D47" s="13" t="str">
        <x:v>Запланировано</x:v>
      </x:c>
      <x:c r="E47" s="15" t="n">
        <x:f>IF(D47="Реализовано",1,IF(D47="Частично",0.5,IF(D47="В разработке",0.25,0)))</x:f>
        <x:v>0</x:v>
      </x:c>
      <x:c r="F47" s="13" t="str">
        <x:v>Высокий</x:v>
      </x:c>
      <x:c r="G47" s="13" t="str">
        <x:v>Да</x:v>
      </x:c>
      <x:c r="H47" s="13" t="str">
        <x:v>V1.0 — отсутствия и заявки</x:v>
      </x:c>
      <x:c r="I47" s="14" t="str">
        <x:v>Функция пока отсутствует в текущей версии.</x:v>
      </x:c>
      <x:c r="J47" s="14" t="str">
        <x:v>Добавить заявки и одноэтапное согласование руководителем.</x:v>
      </x:c>
      <x:c r="K47" s="13" t="str"/>
      <x:c r="L47" s="16"/>
      <x:c r="M47" s="14" t="str"/>
    </x:row>
    <x:row r="48" ht="42" customHeight="1">
      <x:c r="A48" s="13" t="str">
        <x:v>F-044</x:v>
      </x:c>
      <x:c r="B48" s="13" t="str">
        <x:v>4. Заявки сотрудников</x:v>
      </x:c>
      <x:c r="C48" s="14" t="str">
        <x:v>Автоматическое внесение утверждённой заявки в график</x:v>
      </x:c>
      <x:c r="D48" s="13" t="str">
        <x:v>Запланировано</x:v>
      </x:c>
      <x:c r="E48" s="15" t="n">
        <x:f>IF(D48="Реализовано",1,IF(D48="Частично",0.5,IF(D48="В разработке",0.25,0)))</x:f>
        <x:v>0</x:v>
      </x:c>
      <x:c r="F48" s="13" t="str">
        <x:v>Высокий</x:v>
      </x:c>
      <x:c r="G48" s="13" t="str">
        <x:v>Да</x:v>
      </x:c>
      <x:c r="H48" s="13" t="str">
        <x:v>V1.0 — отсутствия и заявки</x:v>
      </x:c>
      <x:c r="I48" s="14" t="str">
        <x:v>Функция пока отсутствует в текущей версии.</x:v>
      </x:c>
      <x:c r="J48" s="14" t="str">
        <x:v>Добавить заявки и одноэтапное согласование руководителем.</x:v>
      </x:c>
      <x:c r="K48" s="13" t="str"/>
      <x:c r="L48" s="16"/>
      <x:c r="M48" s="14" t="str"/>
    </x:row>
    <x:row r="49" ht="42" customHeight="1">
      <x:c r="A49" s="13" t="str">
        <x:v>F-045</x:v>
      </x:c>
      <x:c r="B49" s="13" t="str">
        <x:v>4. Заявки сотрудников</x:v>
      </x:c>
      <x:c r="C49" s="14" t="str">
        <x:v>История поданных и согласованных заявок</x:v>
      </x:c>
      <x:c r="D49" s="13" t="str">
        <x:v>Запланировано</x:v>
      </x:c>
      <x:c r="E49" s="15" t="n">
        <x:f>IF(D49="Реализовано",1,IF(D49="Частично",0.5,IF(D49="В разработке",0.25,0)))</x:f>
        <x:v>0</x:v>
      </x:c>
      <x:c r="F49" s="13" t="str">
        <x:v>Высокий</x:v>
      </x:c>
      <x:c r="G49" s="13" t="str">
        <x:v>Да</x:v>
      </x:c>
      <x:c r="H49" s="13" t="str">
        <x:v>V1.0 — отсутствия и заявки</x:v>
      </x:c>
      <x:c r="I49" s="14" t="str">
        <x:v>Функция пока отсутствует в текущей версии.</x:v>
      </x:c>
      <x:c r="J49" s="14" t="str">
        <x:v>Добавить заявки и одноэтапное согласование руководителем.</x:v>
      </x:c>
      <x:c r="K49" s="13" t="str"/>
      <x:c r="L49" s="16"/>
      <x:c r="M49" s="14" t="str"/>
    </x:row>
    <x:row r="50" ht="42" customHeight="1">
      <x:c r="A50" s="13" t="str">
        <x:v>F-046</x:v>
      </x:c>
      <x:c r="B50" s="13" t="str">
        <x:v>5. Замены и обмен сменами</x:v>
      </x:c>
      <x:c r="C50" s="14" t="str">
        <x:v>Предложение смены другому сотруднику</x:v>
      </x:c>
      <x:c r="D50" s="13" t="str">
        <x:v>Запланировано</x:v>
      </x:c>
      <x:c r="E50" s="15" t="n">
        <x:f>IF(D50="Реализовано",1,IF(D50="Частично",0.5,IF(D50="В разработке",0.25,0)))</x:f>
        <x:v>0</x:v>
      </x:c>
      <x:c r="F50" s="13" t="str">
        <x:v>Средний</x:v>
      </x:c>
      <x:c r="G50" s="13" t="str">
        <x:v>Да</x:v>
      </x:c>
      <x:c r="H50" s="13" t="str">
        <x:v>V1.1 — замены и уведомления</x:v>
      </x:c>
      <x:c r="I50" s="14" t="str">
        <x:v>Функция пока отсутствует в текущей версии.</x:v>
      </x:c>
      <x:c r="J50" s="14" t="str">
        <x:v>Реализовать запросы обмена и свободные смены после публикации графика.</x:v>
      </x:c>
      <x:c r="K50" s="13" t="str"/>
      <x:c r="L50" s="16"/>
      <x:c r="M50" s="14" t="str"/>
    </x:row>
    <x:row r="51" ht="42" customHeight="1">
      <x:c r="A51" s="13" t="str">
        <x:v>F-047</x:v>
      </x:c>
      <x:c r="B51" s="13" t="str">
        <x:v>5. Замены и обмен сменами</x:v>
      </x:c>
      <x:c r="C51" s="14" t="str">
        <x:v>Обмен сменами между сотрудниками</x:v>
      </x:c>
      <x:c r="D51" s="13" t="str">
        <x:v>Запланировано</x:v>
      </x:c>
      <x:c r="E51" s="15" t="n">
        <x:f>IF(D51="Реализовано",1,IF(D51="Частично",0.5,IF(D51="В разработке",0.25,0)))</x:f>
        <x:v>0</x:v>
      </x:c>
      <x:c r="F51" s="13" t="str">
        <x:v>Средний</x:v>
      </x:c>
      <x:c r="G51" s="13" t="str">
        <x:v>Да</x:v>
      </x:c>
      <x:c r="H51" s="13" t="str">
        <x:v>V1.1 — замены и уведомления</x:v>
      </x:c>
      <x:c r="I51" s="14" t="str">
        <x:v>Функция пока отсутствует в текущей версии.</x:v>
      </x:c>
      <x:c r="J51" s="14" t="str">
        <x:v>Реализовать запросы обмена и свободные смены после публикации графика.</x:v>
      </x:c>
      <x:c r="K51" s="13" t="str"/>
      <x:c r="L51" s="16"/>
      <x:c r="M51" s="14" t="str"/>
    </x:row>
    <x:row r="52" ht="42" customHeight="1">
      <x:c r="A52" s="13" t="str">
        <x:v>F-048</x:v>
      </x:c>
      <x:c r="B52" s="13" t="str">
        <x:v>5. Замены и обмен сменами</x:v>
      </x:c>
      <x:c r="C52" s="14" t="str">
        <x:v>Подача запроса на замену</x:v>
      </x:c>
      <x:c r="D52" s="13" t="str">
        <x:v>Запланировано</x:v>
      </x:c>
      <x:c r="E52" s="15" t="n">
        <x:f>IF(D52="Реализовано",1,IF(D52="Частично",0.5,IF(D52="В разработке",0.25,0)))</x:f>
        <x:v>0</x:v>
      </x:c>
      <x:c r="F52" s="13" t="str">
        <x:v>Средний</x:v>
      </x:c>
      <x:c r="G52" s="13" t="str">
        <x:v>Да</x:v>
      </x:c>
      <x:c r="H52" s="13" t="str">
        <x:v>V1.1 — замены и уведомления</x:v>
      </x:c>
      <x:c r="I52" s="14" t="str">
        <x:v>Функция пока отсутствует в текущей версии.</x:v>
      </x:c>
      <x:c r="J52" s="14" t="str">
        <x:v>Реализовать запросы обмена и свободные смены после публикации графика.</x:v>
      </x:c>
      <x:c r="K52" s="13" t="str"/>
      <x:c r="L52" s="16"/>
      <x:c r="M52" s="14" t="str"/>
    </x:row>
    <x:row r="53" ht="42" customHeight="1">
      <x:c r="A53" s="13" t="str">
        <x:v>F-049</x:v>
      </x:c>
      <x:c r="B53" s="13" t="str">
        <x:v>5. Замены и обмен сменами</x:v>
      </x:c>
      <x:c r="C53" s="14" t="str">
        <x:v>Согласование замены руководителем</x:v>
      </x:c>
      <x:c r="D53" s="13" t="str">
        <x:v>Запланировано</x:v>
      </x:c>
      <x:c r="E53" s="15" t="n">
        <x:f>IF(D53="Реализовано",1,IF(D53="Частично",0.5,IF(D53="В разработке",0.25,0)))</x:f>
        <x:v>0</x:v>
      </x:c>
      <x:c r="F53" s="13" t="str">
        <x:v>Средний</x:v>
      </x:c>
      <x:c r="G53" s="13" t="str">
        <x:v>Да</x:v>
      </x:c>
      <x:c r="H53" s="13" t="str">
        <x:v>V1.1 — замены и уведомления</x:v>
      </x:c>
      <x:c r="I53" s="14" t="str">
        <x:v>Функция пока отсутствует в текущей версии.</x:v>
      </x:c>
      <x:c r="J53" s="14" t="str">
        <x:v>Реализовать запросы обмена и свободные смены после публикации графика.</x:v>
      </x:c>
      <x:c r="K53" s="13" t="str"/>
      <x:c r="L53" s="16"/>
      <x:c r="M53" s="14" t="str"/>
    </x:row>
    <x:row r="54" ht="42" customHeight="1">
      <x:c r="A54" s="13" t="str">
        <x:v>F-050</x:v>
      </x:c>
      <x:c r="B54" s="13" t="str">
        <x:v>5. Замены и обмен сменами</x:v>
      </x:c>
      <x:c r="C54" s="14" t="str">
        <x:v>Проверка квалификации заменяющего сотрудника</x:v>
      </x:c>
      <x:c r="D54" s="13" t="str">
        <x:v>Запланировано</x:v>
      </x:c>
      <x:c r="E54" s="15" t="n">
        <x:f>IF(D54="Реализовано",1,IF(D54="Частично",0.5,IF(D54="В разработке",0.25,0)))</x:f>
        <x:v>0</x:v>
      </x:c>
      <x:c r="F54" s="13" t="str">
        <x:v>Средний</x:v>
      </x:c>
      <x:c r="G54" s="13" t="str">
        <x:v>Да</x:v>
      </x:c>
      <x:c r="H54" s="13" t="str">
        <x:v>V1.1 — замены и уведомления</x:v>
      </x:c>
      <x:c r="I54" s="14" t="str">
        <x:v>Функция пока отсутствует в текущей версии.</x:v>
      </x:c>
      <x:c r="J54" s="14" t="str">
        <x:v>Реализовать запросы обмена и свободные смены после публикации графика.</x:v>
      </x:c>
      <x:c r="K54" s="13" t="str"/>
      <x:c r="L54" s="16"/>
      <x:c r="M54" s="14" t="str"/>
    </x:row>
    <x:row r="55" ht="42" customHeight="1">
      <x:c r="A55" s="13" t="str">
        <x:v>F-051</x:v>
      </x:c>
      <x:c r="B55" s="13" t="str">
        <x:v>5. Замены и обмен сменами</x:v>
      </x:c>
      <x:c r="C55" s="14" t="str">
        <x:v>Проверка нормы часов и переработки перед заменой</x:v>
      </x:c>
      <x:c r="D55" s="13" t="str">
        <x:v>Запланировано</x:v>
      </x:c>
      <x:c r="E55" s="15" t="n">
        <x:f>IF(D55="Реализовано",1,IF(D55="Частично",0.5,IF(D55="В разработке",0.25,0)))</x:f>
        <x:v>0</x:v>
      </x:c>
      <x:c r="F55" s="13" t="str">
        <x:v>Средний</x:v>
      </x:c>
      <x:c r="G55" s="13" t="str">
        <x:v>Да</x:v>
      </x:c>
      <x:c r="H55" s="13" t="str">
        <x:v>V1.1 — замены и уведомления</x:v>
      </x:c>
      <x:c r="I55" s="14" t="str">
        <x:v>Функция пока отсутствует в текущей версии.</x:v>
      </x:c>
      <x:c r="J55" s="14" t="str">
        <x:v>Реализовать запросы обмена и свободные смены после публикации графика.</x:v>
      </x:c>
      <x:c r="K55" s="13" t="str"/>
      <x:c r="L55" s="16"/>
      <x:c r="M55" s="14" t="str"/>
    </x:row>
    <x:row r="56" ht="42" customHeight="1">
      <x:c r="A56" s="13" t="str">
        <x:v>F-052</x:v>
      </x:c>
      <x:c r="B56" s="13" t="str">
        <x:v>5. Замены и обмен сменами</x:v>
      </x:c>
      <x:c r="C56" s="14" t="str">
        <x:v>Создание свободной смены без сотрудника</x:v>
      </x:c>
      <x:c r="D56" s="13" t="str">
        <x:v>Запланировано</x:v>
      </x:c>
      <x:c r="E56" s="15" t="n">
        <x:f>IF(D56="Реализовано",1,IF(D56="Частично",0.5,IF(D56="В разработке",0.25,0)))</x:f>
        <x:v>0</x:v>
      </x:c>
      <x:c r="F56" s="13" t="str">
        <x:v>Средний</x:v>
      </x:c>
      <x:c r="G56" s="13" t="str">
        <x:v>Да</x:v>
      </x:c>
      <x:c r="H56" s="13" t="str">
        <x:v>V1.1 — замены и уведомления</x:v>
      </x:c>
      <x:c r="I56" s="14" t="str">
        <x:v>Функция пока отсутствует в текущей версии.</x:v>
      </x:c>
      <x:c r="J56" s="14" t="str">
        <x:v>Реализовать запросы обмена и свободные смены после публикации графика.</x:v>
      </x:c>
      <x:c r="K56" s="13" t="str"/>
      <x:c r="L56" s="16"/>
      <x:c r="M56" s="14" t="str"/>
    </x:row>
    <x:row r="57" ht="42" customHeight="1">
      <x:c r="A57" s="13" t="str">
        <x:v>F-053</x:v>
      </x:c>
      <x:c r="B57" s="13" t="str">
        <x:v>5. Замены и обмен сменами</x:v>
      </x:c>
      <x:c r="C57" s="14" t="str">
        <x:v>Отклик сотрудников на свободные смены</x:v>
      </x:c>
      <x:c r="D57" s="13" t="str">
        <x:v>Запланировано</x:v>
      </x:c>
      <x:c r="E57" s="15" t="n">
        <x:f>IF(D57="Реализовано",1,IF(D57="Частично",0.5,IF(D57="В разработке",0.25,0)))</x:f>
        <x:v>0</x:v>
      </x:c>
      <x:c r="F57" s="13" t="str">
        <x:v>Средний</x:v>
      </x:c>
      <x:c r="G57" s="13" t="str">
        <x:v>Да</x:v>
      </x:c>
      <x:c r="H57" s="13" t="str">
        <x:v>V1.1 — замены и уведомления</x:v>
      </x:c>
      <x:c r="I57" s="14" t="str">
        <x:v>Функция пока отсутствует в текущей версии.</x:v>
      </x:c>
      <x:c r="J57" s="14" t="str">
        <x:v>Реализовать запросы обмена и свободные смены после публикации графика.</x:v>
      </x:c>
      <x:c r="K57" s="13" t="str"/>
      <x:c r="L57" s="16"/>
      <x:c r="M57" s="14" t="str"/>
    </x:row>
    <x:row r="58" ht="42" customHeight="1">
      <x:c r="A58" s="13" t="str">
        <x:v>F-054</x:v>
      </x:c>
      <x:c r="B58" s="13" t="str">
        <x:v>5. Замены и обмен сменами</x:v>
      </x:c>
      <x:c r="C58" s="14" t="str">
        <x:v>Уведомление подходящих сотрудников о свободной смене</x:v>
      </x:c>
      <x:c r="D58" s="13" t="str">
        <x:v>Запланировано</x:v>
      </x:c>
      <x:c r="E58" s="15" t="n">
        <x:f>IF(D58="Реализовано",1,IF(D58="Частично",0.5,IF(D58="В разработке",0.25,0)))</x:f>
        <x:v>0</x:v>
      </x:c>
      <x:c r="F58" s="13" t="str">
        <x:v>Средний</x:v>
      </x:c>
      <x:c r="G58" s="13" t="str">
        <x:v>Да</x:v>
      </x:c>
      <x:c r="H58" s="13" t="str">
        <x:v>V1.1 — замены и уведомления</x:v>
      </x:c>
      <x:c r="I58" s="14" t="str">
        <x:v>Функция пока отсутствует в текущей версии.</x:v>
      </x:c>
      <x:c r="J58" s="14" t="str">
        <x:v>Реализовать запросы обмена и свободные смены после публикации графика.</x:v>
      </x:c>
      <x:c r="K58" s="13" t="str"/>
      <x:c r="L58" s="16"/>
      <x:c r="M58" s="14" t="str"/>
    </x:row>
    <x:row r="59" ht="42" customHeight="1">
      <x:c r="A59" s="13" t="str">
        <x:v>F-055</x:v>
      </x:c>
      <x:c r="B59" s="13" t="str">
        <x:v>5. Замены и обмен сменами</x:v>
      </x:c>
      <x:c r="C59" s="14" t="str">
        <x:v>Обновление графика после утверждения замены</x:v>
      </x:c>
      <x:c r="D59" s="13" t="str">
        <x:v>Запланировано</x:v>
      </x:c>
      <x:c r="E59" s="15" t="n">
        <x:f>IF(D59="Реализовано",1,IF(D59="Частично",0.5,IF(D59="В разработке",0.25,0)))</x:f>
        <x:v>0</x:v>
      </x:c>
      <x:c r="F59" s="13" t="str">
        <x:v>Средний</x:v>
      </x:c>
      <x:c r="G59" s="13" t="str">
        <x:v>Да</x:v>
      </x:c>
      <x:c r="H59" s="13" t="str">
        <x:v>V1.1 — замены и уведомления</x:v>
      </x:c>
      <x:c r="I59" s="14" t="str">
        <x:v>Функция пока отсутствует в текущей версии.</x:v>
      </x:c>
      <x:c r="J59" s="14" t="str">
        <x:v>Реализовать запросы обмена и свободные смены после публикации графика.</x:v>
      </x:c>
      <x:c r="K59" s="13" t="str"/>
      <x:c r="L59" s="16"/>
      <x:c r="M59" s="14" t="str"/>
    </x:row>
    <x:row r="60" ht="42" customHeight="1">
      <x:c r="A60" s="13" t="str">
        <x:v>F-056</x:v>
      </x:c>
      <x:c r="B60" s="13" t="str">
        <x:v>6. Календарь</x:v>
      </x:c>
      <x:c r="C60" s="14" t="str">
        <x:v>Просмотр графика на день, неделю, месяц и год</x:v>
      </x:c>
      <x:c r="D60" s="13" t="str">
        <x:v>Частично</x:v>
      </x:c>
      <x:c r="E60" s="15" t="n">
        <x:f>IF(D60="Реализовано",1,IF(D60="Частично",0.5,IF(D60="В разработке",0.25,0)))</x:f>
        <x:v>0.5</x:v>
      </x:c>
      <x:c r="F60" s="13" t="str">
        <x:v>Критический</x:v>
      </x:c>
      <x:c r="G60" s="13" t="str">
        <x:v>Да</x:v>
      </x:c>
      <x:c r="H60" s="13" t="str">
        <x:v>V1.0 — ядро графика</x:v>
      </x:c>
      <x:c r="I60" s="14" t="str">
        <x:v>Есть базовая модель или интерфейс, но полный рабочий сценарий ещё не завершён.</x:v>
      </x:c>
      <x:c r="J60" s="14" t="str">
        <x:v>Добавить недельный редактор и отображение плановых смен.</x:v>
      </x:c>
      <x:c r="K60" s="13" t="str"/>
      <x:c r="L60" s="16"/>
      <x:c r="M60" s="14" t="str"/>
    </x:row>
    <x:row r="61" ht="42" customHeight="1">
      <x:c r="A61" s="13" t="str">
        <x:v>F-057</x:v>
      </x:c>
      <x:c r="B61" s="13" t="str">
        <x:v>6. Календарь</x:v>
      </x:c>
      <x:c r="C61" s="14" t="str">
        <x:v>Личный календарь сотрудника</x:v>
      </x:c>
      <x:c r="D61" s="13" t="str">
        <x:v>Реализовано</x:v>
      </x:c>
      <x:c r="E61" s="15" t="n">
        <x:f>IF(D61="Реализовано",1,IF(D61="Частично",0.5,IF(D61="В разработке",0.25,0)))</x:f>
        <x:v>1</x:v>
      </x:c>
      <x:c r="F61" s="13" t="str">
        <x:v>Критический</x:v>
      </x:c>
      <x:c r="G61" s="13" t="str">
        <x:v>Да</x:v>
      </x:c>
      <x:c r="H61" s="13" t="str">
        <x:v>V1.0 — ядро графика</x:v>
      </x:c>
      <x:c r="I61" s="14" t="str">
        <x:v>Личный адаптивный календарь сотрудника работает на телефоне и компьютере с учётом области доступа.</x:v>
      </x:c>
      <x:c r="J61" s="14" t="str">
        <x:v>Добавить явные типы смен, время начала и публикацию версий графика.</x:v>
      </x:c>
      <x:c r="K61" s="13" t="str"/>
      <x:c r="L61" s="16"/>
      <x:c r="M61" s="14" t="str">
        <x:v>Обновлено 17.08.2026: новый адаптивный frontend.</x:v>
      </x:c>
    </x:row>
    <x:row r="62" ht="42" customHeight="1">
      <x:c r="A62" s="13" t="str">
        <x:v>F-058</x:v>
      </x:c>
      <x:c r="B62" s="13" t="str">
        <x:v>6. Календарь</x:v>
      </x:c>
      <x:c r="C62" s="14" t="str">
        <x:v>Общий календарь подразделения</x:v>
      </x:c>
      <x:c r="D62" s="13" t="str">
        <x:v>Реализовано</x:v>
      </x:c>
      <x:c r="E62" s="15" t="n">
        <x:f>IF(D62="Реализовано",1,IF(D62="Частично",0.5,IF(D62="В разработке",0.25,0)))</x:f>
        <x:v>1</x:v>
      </x:c>
      <x:c r="F62" s="13" t="str">
        <x:v>Критический</x:v>
      </x:c>
      <x:c r="G62" s="13" t="str">
        <x:v>Да</x:v>
      </x:c>
      <x:c r="H62" s="13" t="str">
        <x:v>V1.0 — ядро графика</x:v>
      </x:c>
      <x:c r="I62" s="14" t="str">
        <x:v>Реализована недельная матрица подразделения с сотрудниками, планом, фактом и фильтрами.</x:v>
      </x:c>
      <x:c r="J62" s="14" t="str">
        <x:v>Добавить массовое назначение смен и публикацию графика.</x:v>
      </x:c>
      <x:c r="K62" s="13" t="str"/>
      <x:c r="L62" s="16"/>
      <x:c r="M62" s="14" t="str">
        <x:v>Обновлено 17.08.2026: новый адаптивный frontend.</x:v>
      </x:c>
    </x:row>
    <x:row r="63" ht="42" customHeight="1">
      <x:c r="A63" s="13" t="str">
        <x:v>F-059</x:v>
      </x:c>
      <x:c r="B63" s="13" t="str">
        <x:v>6. Календарь</x:v>
      </x:c>
      <x:c r="C63" s="14" t="str">
        <x:v>Цветовое отображение смен, выходных и отсутствий</x:v>
      </x:c>
      <x:c r="D63" s="13" t="str">
        <x:v>Реализовано</x:v>
      </x:c>
      <x:c r="E63" s="15" t="n">
        <x:f>IF(D63="Реализовано",1,IF(D63="Частично",0.5,IF(D63="В разработке",0.25,0)))</x:f>
        <x:v>1</x:v>
      </x:c>
      <x:c r="F63" s="13" t="str">
        <x:v>Критический</x:v>
      </x:c>
      <x:c r="G63" s="13" t="str">
        <x:v>Да</x:v>
      </x:c>
      <x:c r="H63" s="13" t="str">
        <x:v>V1.0 — ядро графика</x:v>
      </x:c>
      <x:c r="I63" s="14" t="str">
        <x:v>Рабочие дни, отдых, отпуск, больничный, отсутствие и подтверждённый факт имеют разные цвета.</x:v>
      </x:c>
      <x:c r="J63" s="14" t="str">
        <x:v>Расширить легенду после появления свободных и ночных смен.</x:v>
      </x:c>
      <x:c r="K63" s="13" t="str"/>
      <x:c r="L63" s="16"/>
      <x:c r="M63" s="14" t="str">
        <x:v>Обновлено 17.08.2026: новый адаптивный frontend.</x:v>
      </x:c>
    </x:row>
    <x:row r="64" ht="42" customHeight="1">
      <x:c r="A64" s="13" t="str">
        <x:v>F-060</x:v>
      </x:c>
      <x:c r="B64" s="13" t="str">
        <x:v>6. Календарь</x:v>
      </x:c>
      <x:c r="C64" s="14" t="str">
        <x:v>Фильтрация по сотруднику, подразделению, должности и виду события</x:v>
      </x:c>
      <x:c r="D64" s="13" t="str">
        <x:v>Реализовано</x:v>
      </x:c>
      <x:c r="E64" s="15" t="n">
        <x:f>IF(D64="Реализовано",1,IF(D64="Частично",0.5,IF(D64="В разработке",0.25,0)))</x:f>
        <x:v>1</x:v>
      </x:c>
      <x:c r="F64" s="13" t="str">
        <x:v>Критический</x:v>
      </x:c>
      <x:c r="G64" s="13" t="str">
        <x:v>Да</x:v>
      </x:c>
      <x:c r="H64" s="13" t="str">
        <x:v>V1.0 — ядро графика</x:v>
      </x:c>
      <x:c r="I64" s="14" t="str">
        <x:v>Функция работает в текущем приложении и серверном API.</x:v>
      </x:c>
      <x:c r="J64" s="14" t="str">
        <x:v>Добавить недельный редактор и отображение плановых смен.</x:v>
      </x:c>
      <x:c r="K64" s="13" t="str"/>
      <x:c r="L64" s="16"/>
      <x:c r="M64" s="14" t="str"/>
    </x:row>
    <x:row r="65" ht="42" customHeight="1">
      <x:c r="A65" s="13" t="str">
        <x:v>F-061</x:v>
      </x:c>
      <x:c r="B65" s="13" t="str">
        <x:v>6. Календарь</x:v>
      </x:c>
      <x:c r="C65" s="14" t="str">
        <x:v>Количество сотрудников в каждой смене</x:v>
      </x:c>
      <x:c r="D65" s="13" t="str">
        <x:v>Частично</x:v>
      </x:c>
      <x:c r="E65" s="15" t="n">
        <x:f>IF(D65="Реализовано",1,IF(D65="Частично",0.5,IF(D65="В разработке",0.25,0)))</x:f>
        <x:v>0.5</x:v>
      </x:c>
      <x:c r="F65" s="13" t="str">
        <x:v>Критический</x:v>
      </x:c>
      <x:c r="G65" s="13" t="str">
        <x:v>Да</x:v>
      </x:c>
      <x:c r="H65" s="13" t="str">
        <x:v>V1.0 — ядро графика</x:v>
      </x:c>
      <x:c r="I65" s="14" t="str">
        <x:v>Есть базовая модель или интерфейс, но полный рабочий сценарий ещё не завершён.</x:v>
      </x:c>
      <x:c r="J65" s="14" t="str">
        <x:v>Добавить недельный редактор и отображение плановых смен.</x:v>
      </x:c>
      <x:c r="K65" s="13" t="str"/>
      <x:c r="L65" s="16"/>
      <x:c r="M65" s="14" t="str"/>
    </x:row>
    <x:row r="66" ht="42" customHeight="1">
      <x:c r="A66" s="13" t="str">
        <x:v>F-062</x:v>
      </x:c>
      <x:c r="B66" s="13" t="str">
        <x:v>6. Календарь</x:v>
      </x:c>
      <x:c r="C66" s="14" t="str">
        <x:v>Свободные и незакрытые смены</x:v>
      </x:c>
      <x:c r="D66" s="13" t="str">
        <x:v>Запланировано</x:v>
      </x:c>
      <x:c r="E66" s="15" t="n">
        <x:f>IF(D66="Реализовано",1,IF(D66="Частично",0.5,IF(D66="В разработке",0.25,0)))</x:f>
        <x:v>0</x:v>
      </x:c>
      <x:c r="F66" s="13" t="str">
        <x:v>Критический</x:v>
      </x:c>
      <x:c r="G66" s="13" t="str">
        <x:v>Да</x:v>
      </x:c>
      <x:c r="H66" s="13" t="str">
        <x:v>V1.0 — ядро графика</x:v>
      </x:c>
      <x:c r="I66" s="14" t="str">
        <x:v>Функция пока отсутствует в текущей версии.</x:v>
      </x:c>
      <x:c r="J66" s="14" t="str">
        <x:v>Добавить недельный редактор и отображение плановых смен.</x:v>
      </x:c>
      <x:c r="K66" s="13" t="str"/>
      <x:c r="L66" s="16"/>
      <x:c r="M66" s="14" t="str"/>
    </x:row>
    <x:row r="67" ht="42" customHeight="1">
      <x:c r="A67" s="13" t="str">
        <x:v>F-063</x:v>
      </x:c>
      <x:c r="B67" s="13" t="str">
        <x:v>6. Календарь</x:v>
      </x:c>
      <x:c r="C67" s="14" t="str">
        <x:v>Выделение конфликтов, переработок и дефицита персонала</x:v>
      </x:c>
      <x:c r="D67" s="13" t="str">
        <x:v>Запланировано</x:v>
      </x:c>
      <x:c r="E67" s="15" t="n">
        <x:f>IF(D67="Реализовано",1,IF(D67="Частично",0.5,IF(D67="В разработке",0.25,0)))</x:f>
        <x:v>0</x:v>
      </x:c>
      <x:c r="F67" s="13" t="str">
        <x:v>Критический</x:v>
      </x:c>
      <x:c r="G67" s="13" t="str">
        <x:v>Да</x:v>
      </x:c>
      <x:c r="H67" s="13" t="str">
        <x:v>V1.0 — ядро графика</x:v>
      </x:c>
      <x:c r="I67" s="14" t="str">
        <x:v>Функция пока отсутствует в текущей версии.</x:v>
      </x:c>
      <x:c r="J67" s="14" t="str">
        <x:v>Добавить недельный редактор и отображение плановых смен.</x:v>
      </x:c>
      <x:c r="K67" s="13" t="str"/>
      <x:c r="L67" s="16"/>
      <x:c r="M67" s="14" t="str"/>
    </x:row>
    <x:row r="68" ht="42" customHeight="1">
      <x:c r="A68" s="13" t="str">
        <x:v>F-064</x:v>
      </x:c>
      <x:c r="B68" s="13" t="str">
        <x:v>6. Календарь</x:v>
      </x:c>
      <x:c r="C68" s="14" t="str">
        <x:v>Печать и выгрузка графика</x:v>
      </x:c>
      <x:c r="D68" s="13" t="str">
        <x:v>Запланировано</x:v>
      </x:c>
      <x:c r="E68" s="15" t="n">
        <x:f>IF(D68="Реализовано",1,IF(D68="Частично",0.5,IF(D68="В разработке",0.25,0)))</x:f>
        <x:v>0</x:v>
      </x:c>
      <x:c r="F68" s="13" t="str">
        <x:v>Критический</x:v>
      </x:c>
      <x:c r="G68" s="13" t="str">
        <x:v>Да</x:v>
      </x:c>
      <x:c r="H68" s="13" t="str">
        <x:v>V1.0 — ядро графика</x:v>
      </x:c>
      <x:c r="I68" s="14" t="str">
        <x:v>Функция пока отсутствует в текущей версии.</x:v>
      </x:c>
      <x:c r="J68" s="14" t="str">
        <x:v>Добавить недельный редактор и отображение плановых смен.</x:v>
      </x:c>
      <x:c r="K68" s="13" t="str"/>
      <x:c r="L68" s="16"/>
      <x:c r="M68" s="14" t="str"/>
    </x:row>
    <x:row r="69" ht="42" customHeight="1">
      <x:c r="A69" s="13" t="str">
        <x:v>F-065</x:v>
      </x:c>
      <x:c r="B69" s="13" t="str">
        <x:v>7. Уведомления</x:v>
      </x:c>
      <x:c r="C69" s="14" t="str">
        <x:v>Уведомление о публикации нового графика</x:v>
      </x:c>
      <x:c r="D69" s="13" t="str">
        <x:v>Запланировано</x:v>
      </x:c>
      <x:c r="E69" s="15" t="n">
        <x:f>IF(D69="Реализовано",1,IF(D69="Частично",0.5,IF(D69="В разработке",0.25,0)))</x:f>
        <x:v>0</x:v>
      </x:c>
      <x:c r="F69" s="13" t="str">
        <x:v>Средний</x:v>
      </x:c>
      <x:c r="G69" s="13" t="str">
        <x:v>Да</x:v>
      </x:c>
      <x:c r="H69" s="13" t="str">
        <x:v>V1.1 — замены и уведомления</x:v>
      </x:c>
      <x:c r="I69" s="14" t="str">
        <x:v>Функция пока отсутствует в текущей версии.</x:v>
      </x:c>
      <x:c r="J69" s="14" t="str">
        <x:v>Добавить серверную очередь уведомлений и in-app центр сообщений.</x:v>
      </x:c>
      <x:c r="K69" s="13" t="str"/>
      <x:c r="L69" s="16"/>
      <x:c r="M69" s="14" t="str"/>
    </x:row>
    <x:row r="70" ht="42" customHeight="1">
      <x:c r="A70" s="13" t="str">
        <x:v>F-066</x:v>
      </x:c>
      <x:c r="B70" s="13" t="str">
        <x:v>7. Уведомления</x:v>
      </x:c>
      <x:c r="C70" s="14" t="str">
        <x:v>Уведомление об изменении или отмене смены</x:v>
      </x:c>
      <x:c r="D70" s="13" t="str">
        <x:v>Запланировано</x:v>
      </x:c>
      <x:c r="E70" s="15" t="n">
        <x:f>IF(D70="Реализовано",1,IF(D70="Частично",0.5,IF(D70="В разработке",0.25,0)))</x:f>
        <x:v>0</x:v>
      </x:c>
      <x:c r="F70" s="13" t="str">
        <x:v>Средний</x:v>
      </x:c>
      <x:c r="G70" s="13" t="str">
        <x:v>Да</x:v>
      </x:c>
      <x:c r="H70" s="13" t="str">
        <x:v>V1.1 — замены и уведомления</x:v>
      </x:c>
      <x:c r="I70" s="14" t="str">
        <x:v>Функция пока отсутствует в текущей версии.</x:v>
      </x:c>
      <x:c r="J70" s="14" t="str">
        <x:v>Добавить серверную очередь уведомлений и in-app центр сообщений.</x:v>
      </x:c>
      <x:c r="K70" s="13" t="str"/>
      <x:c r="L70" s="16"/>
      <x:c r="M70" s="14" t="str"/>
    </x:row>
    <x:row r="71" ht="42" customHeight="1">
      <x:c r="A71" s="13" t="str">
        <x:v>F-067</x:v>
      </x:c>
      <x:c r="B71" s="13" t="str">
        <x:v>7. Уведомления</x:v>
      </x:c>
      <x:c r="C71" s="14" t="str">
        <x:v>Напоминание о предстоящей смене</x:v>
      </x:c>
      <x:c r="D71" s="13" t="str">
        <x:v>Запланировано</x:v>
      </x:c>
      <x:c r="E71" s="15" t="n">
        <x:f>IF(D71="Реализовано",1,IF(D71="Частично",0.5,IF(D71="В разработке",0.25,0)))</x:f>
        <x:v>0</x:v>
      </x:c>
      <x:c r="F71" s="13" t="str">
        <x:v>Средний</x:v>
      </x:c>
      <x:c r="G71" s="13" t="str">
        <x:v>Да</x:v>
      </x:c>
      <x:c r="H71" s="13" t="str">
        <x:v>V1.1 — замены и уведомления</x:v>
      </x:c>
      <x:c r="I71" s="14" t="str">
        <x:v>Функция пока отсутствует в текущей версии.</x:v>
      </x:c>
      <x:c r="J71" s="14" t="str">
        <x:v>Добавить серверную очередь уведомлений и in-app центр сообщений.</x:v>
      </x:c>
      <x:c r="K71" s="13" t="str"/>
      <x:c r="L71" s="16"/>
      <x:c r="M71" s="14" t="str"/>
    </x:row>
    <x:row r="72" ht="42" customHeight="1">
      <x:c r="A72" s="13" t="str">
        <x:v>F-068</x:v>
      </x:c>
      <x:c r="B72" s="13" t="str">
        <x:v>7. Уведомления</x:v>
      </x:c>
      <x:c r="C72" s="14" t="str">
        <x:v>Уведомление руководителя о новой заявке</x:v>
      </x:c>
      <x:c r="D72" s="13" t="str">
        <x:v>Запланировано</x:v>
      </x:c>
      <x:c r="E72" s="15" t="n">
        <x:f>IF(D72="Реализовано",1,IF(D72="Частично",0.5,IF(D72="В разработке",0.25,0)))</x:f>
        <x:v>0</x:v>
      </x:c>
      <x:c r="F72" s="13" t="str">
        <x:v>Средний</x:v>
      </x:c>
      <x:c r="G72" s="13" t="str">
        <x:v>Да</x:v>
      </x:c>
      <x:c r="H72" s="13" t="str">
        <x:v>V1.1 — замены и уведомления</x:v>
      </x:c>
      <x:c r="I72" s="14" t="str">
        <x:v>Функция пока отсутствует в текущей версии.</x:v>
      </x:c>
      <x:c r="J72" s="14" t="str">
        <x:v>Добавить серверную очередь уведомлений и in-app центр сообщений.</x:v>
      </x:c>
      <x:c r="K72" s="13" t="str"/>
      <x:c r="L72" s="16"/>
      <x:c r="M72" s="14" t="str"/>
    </x:row>
    <x:row r="73" ht="42" customHeight="1">
      <x:c r="A73" s="13" t="str">
        <x:v>F-069</x:v>
      </x:c>
      <x:c r="B73" s="13" t="str">
        <x:v>7. Уведомления</x:v>
      </x:c>
      <x:c r="C73" s="14" t="str">
        <x:v>Уведомление о согласовании или отклонении заявки</x:v>
      </x:c>
      <x:c r="D73" s="13" t="str">
        <x:v>Запланировано</x:v>
      </x:c>
      <x:c r="E73" s="15" t="n">
        <x:f>IF(D73="Реализовано",1,IF(D73="Частично",0.5,IF(D73="В разработке",0.25,0)))</x:f>
        <x:v>0</x:v>
      </x:c>
      <x:c r="F73" s="13" t="str">
        <x:v>Средний</x:v>
      </x:c>
      <x:c r="G73" s="13" t="str">
        <x:v>Да</x:v>
      </x:c>
      <x:c r="H73" s="13" t="str">
        <x:v>V1.1 — замены и уведомления</x:v>
      </x:c>
      <x:c r="I73" s="14" t="str">
        <x:v>Функция пока отсутствует в текущей версии.</x:v>
      </x:c>
      <x:c r="J73" s="14" t="str">
        <x:v>Добавить серверную очередь уведомлений и in-app центр сообщений.</x:v>
      </x:c>
      <x:c r="K73" s="13" t="str"/>
      <x:c r="L73" s="16"/>
      <x:c r="M73" s="14" t="str"/>
    </x:row>
    <x:row r="74" ht="42" customHeight="1">
      <x:c r="A74" s="13" t="str">
        <x:v>F-070</x:v>
      </x:c>
      <x:c r="B74" s="13" t="str">
        <x:v>7. Уведомления</x:v>
      </x:c>
      <x:c r="C74" s="14" t="str">
        <x:v>Уведомление о запросе на обмен или замену</x:v>
      </x:c>
      <x:c r="D74" s="13" t="str">
        <x:v>Запланировано</x:v>
      </x:c>
      <x:c r="E74" s="15" t="n">
        <x:f>IF(D74="Реализовано",1,IF(D74="Частично",0.5,IF(D74="В разработке",0.25,0)))</x:f>
        <x:v>0</x:v>
      </x:c>
      <x:c r="F74" s="13" t="str">
        <x:v>Средний</x:v>
      </x:c>
      <x:c r="G74" s="13" t="str">
        <x:v>Да</x:v>
      </x:c>
      <x:c r="H74" s="13" t="str">
        <x:v>V1.1 — замены и уведомления</x:v>
      </x:c>
      <x:c r="I74" s="14" t="str">
        <x:v>Функция пока отсутствует в текущей версии.</x:v>
      </x:c>
      <x:c r="J74" s="14" t="str">
        <x:v>Добавить серверную очередь уведомлений и in-app центр сообщений.</x:v>
      </x:c>
      <x:c r="K74" s="13" t="str"/>
      <x:c r="L74" s="16"/>
      <x:c r="M74" s="14" t="str"/>
    </x:row>
    <x:row r="75" ht="42" customHeight="1">
      <x:c r="A75" s="13" t="str">
        <x:v>F-071</x:v>
      </x:c>
      <x:c r="B75" s="13" t="str">
        <x:v>7. Уведомления</x:v>
      </x:c>
      <x:c r="C75" s="14" t="str">
        <x:v>Уведомление о свободной смене</x:v>
      </x:c>
      <x:c r="D75" s="13" t="str">
        <x:v>Запланировано</x:v>
      </x:c>
      <x:c r="E75" s="15" t="n">
        <x:f>IF(D75="Реализовано",1,IF(D75="Частично",0.5,IF(D75="В разработке",0.25,0)))</x:f>
        <x:v>0</x:v>
      </x:c>
      <x:c r="F75" s="13" t="str">
        <x:v>Средний</x:v>
      </x:c>
      <x:c r="G75" s="13" t="str">
        <x:v>Да</x:v>
      </x:c>
      <x:c r="H75" s="13" t="str">
        <x:v>V1.1 — замены и уведомления</x:v>
      </x:c>
      <x:c r="I75" s="14" t="str">
        <x:v>Функция пока отсутствует в текущей версии.</x:v>
      </x:c>
      <x:c r="J75" s="14" t="str">
        <x:v>Добавить серверную очередь уведомлений и in-app центр сообщений.</x:v>
      </x:c>
      <x:c r="K75" s="13" t="str"/>
      <x:c r="L75" s="16"/>
      <x:c r="M75" s="14" t="str"/>
    </x:row>
    <x:row r="76" ht="42" customHeight="1">
      <x:c r="A76" s="13" t="str">
        <x:v>F-072</x:v>
      </x:c>
      <x:c r="B76" s="13" t="str">
        <x:v>7. Уведомления</x:v>
      </x:c>
      <x:c r="C76" s="14" t="str">
        <x:v>Предупреждение о пересечении отпусков</x:v>
      </x:c>
      <x:c r="D76" s="13" t="str">
        <x:v>Запланировано</x:v>
      </x:c>
      <x:c r="E76" s="15" t="n">
        <x:f>IF(D76="Реализовано",1,IF(D76="Частично",0.5,IF(D76="В разработке",0.25,0)))</x:f>
        <x:v>0</x:v>
      </x:c>
      <x:c r="F76" s="13" t="str">
        <x:v>Средний</x:v>
      </x:c>
      <x:c r="G76" s="13" t="str">
        <x:v>Да</x:v>
      </x:c>
      <x:c r="H76" s="13" t="str">
        <x:v>V1.1 — замены и уведомления</x:v>
      </x:c>
      <x:c r="I76" s="14" t="str">
        <x:v>Функция пока отсутствует в текущей версии.</x:v>
      </x:c>
      <x:c r="J76" s="14" t="str">
        <x:v>Добавить серверную очередь уведомлений и in-app центр сообщений.</x:v>
      </x:c>
      <x:c r="K76" s="13" t="str"/>
      <x:c r="L76" s="16"/>
      <x:c r="M76" s="14" t="str"/>
    </x:row>
    <x:row r="77" ht="42" customHeight="1">
      <x:c r="A77" s="13" t="str">
        <x:v>F-073</x:v>
      </x:c>
      <x:c r="B77" s="13" t="str">
        <x:v>7. Уведомления</x:v>
      </x:c>
      <x:c r="C77" s="14" t="str">
        <x:v>Предупреждение о незакрытой смене</x:v>
      </x:c>
      <x:c r="D77" s="13" t="str">
        <x:v>Запланировано</x:v>
      </x:c>
      <x:c r="E77" s="15" t="n">
        <x:f>IF(D77="Реализовано",1,IF(D77="Частично",0.5,IF(D77="В разработке",0.25,0)))</x:f>
        <x:v>0</x:v>
      </x:c>
      <x:c r="F77" s="13" t="str">
        <x:v>Средний</x:v>
      </x:c>
      <x:c r="G77" s="13" t="str">
        <x:v>Да</x:v>
      </x:c>
      <x:c r="H77" s="13" t="str">
        <x:v>V1.1 — замены и уведомления</x:v>
      </x:c>
      <x:c r="I77" s="14" t="str">
        <x:v>Функция пока отсутствует в текущей версии.</x:v>
      </x:c>
      <x:c r="J77" s="14" t="str">
        <x:v>Добавить серверную очередь уведомлений и in-app центр сообщений.</x:v>
      </x:c>
      <x:c r="K77" s="13" t="str"/>
      <x:c r="L77" s="16"/>
      <x:c r="M77" s="14" t="str"/>
    </x:row>
    <x:row r="78" ht="42" customHeight="1">
      <x:c r="A78" s="13" t="str">
        <x:v>F-074</x:v>
      </x:c>
      <x:c r="B78" s="13" t="str">
        <x:v>7. Уведомления</x:v>
      </x:c>
      <x:c r="C78" s="14" t="str">
        <x:v>Push, электронная почта и сообщения в мессенджере</x:v>
      </x:c>
      <x:c r="D78" s="13" t="str">
        <x:v>Запланировано</x:v>
      </x:c>
      <x:c r="E78" s="15" t="n">
        <x:f>IF(D78="Реализовано",1,IF(D78="Частично",0.5,IF(D78="В разработке",0.25,0)))</x:f>
        <x:v>0</x:v>
      </x:c>
      <x:c r="F78" s="13" t="str">
        <x:v>Средний</x:v>
      </x:c>
      <x:c r="G78" s="13" t="str">
        <x:v>Да</x:v>
      </x:c>
      <x:c r="H78" s="13" t="str">
        <x:v>V1.1 — замены и уведомления</x:v>
      </x:c>
      <x:c r="I78" s="14" t="str">
        <x:v>Функция пока отсутствует в текущей версии.</x:v>
      </x:c>
      <x:c r="J78" s="14" t="str">
        <x:v>Добавить серверную очередь уведомлений и in-app центр сообщений.</x:v>
      </x:c>
      <x:c r="K78" s="13" t="str"/>
      <x:c r="L78" s="16"/>
      <x:c r="M78" s="14" t="str"/>
    </x:row>
    <x:row r="79" ht="42" customHeight="1">
      <x:c r="A79" s="13" t="str">
        <x:v>F-075</x:v>
      </x:c>
      <x:c r="B79" s="13" t="str">
        <x:v>7. Уведомления</x:v>
      </x:c>
      <x:c r="C79" s="14" t="str">
        <x:v>Подтверждение ознакомления с графиком или изменениями</x:v>
      </x:c>
      <x:c r="D79" s="13" t="str">
        <x:v>Запланировано</x:v>
      </x:c>
      <x:c r="E79" s="15" t="n">
        <x:f>IF(D79="Реализовано",1,IF(D79="Частично",0.5,IF(D79="В разработке",0.25,0)))</x:f>
        <x:v>0</x:v>
      </x:c>
      <x:c r="F79" s="13" t="str">
        <x:v>Средний</x:v>
      </x:c>
      <x:c r="G79" s="13" t="str">
        <x:v>Да</x:v>
      </x:c>
      <x:c r="H79" s="13" t="str">
        <x:v>V1.1 — замены и уведомления</x:v>
      </x:c>
      <x:c r="I79" s="14" t="str">
        <x:v>Функция пока отсутствует в текущей версии.</x:v>
      </x:c>
      <x:c r="J79" s="14" t="str">
        <x:v>Добавить серверную очередь уведомлений и in-app центр сообщений.</x:v>
      </x:c>
      <x:c r="K79" s="13" t="str"/>
      <x:c r="L79" s="16"/>
      <x:c r="M79" s="14" t="str"/>
    </x:row>
    <x:row r="80" ht="42" customHeight="1">
      <x:c r="A80" s="13" t="str">
        <x:v>F-076</x:v>
      </x:c>
      <x:c r="B80" s="13" t="str">
        <x:v>8. Фактически отработанное время</x:v>
      </x:c>
      <x:c r="C80" s="14" t="str">
        <x:v>Фиксация начала и окончания смены</x:v>
      </x:c>
      <x:c r="D80" s="13" t="str">
        <x:v>Запланировано</x:v>
      </x:c>
      <x:c r="E80" s="15" t="n">
        <x:f>IF(D80="Реализовано",1,IF(D80="Частично",0.5,IF(D80="В разработке",0.25,0)))</x:f>
        <x:v>0</x:v>
      </x:c>
      <x:c r="F80" s="13" t="str">
        <x:v>Высокий</x:v>
      </x:c>
      <x:c r="G80" s="13" t="str">
        <x:v>Нет</x:v>
      </x:c>
      <x:c r="H80" s="13" t="str">
        <x:v>V1.0 — табель и аудит</x:v>
      </x:c>
      <x:c r="I80" s="14" t="str">
        <x:v>Функция пока отсутствует в текущей версии.</x:v>
      </x:c>
      <x:c r="J80" s="14" t="str">
        <x:v>Разделить план и факт, хранить точное начало/окончание смены.</x:v>
      </x:c>
      <x:c r="K80" s="13" t="str"/>
      <x:c r="L80" s="16"/>
      <x:c r="M80" s="14" t="str"/>
    </x:row>
    <x:row r="81" ht="42" customHeight="1">
      <x:c r="A81" s="13" t="str">
        <x:v>F-077</x:v>
      </x:c>
      <x:c r="B81" s="13" t="str">
        <x:v>8. Фактически отработанное время</x:v>
      </x:c>
      <x:c r="C81" s="14" t="str">
        <x:v>Сравнение планового и фактически отработанного времени</x:v>
      </x:c>
      <x:c r="D81" s="13" t="str">
        <x:v>Запланировано</x:v>
      </x:c>
      <x:c r="E81" s="15" t="n">
        <x:f>IF(D81="Реализовано",1,IF(D81="Частично",0.5,IF(D81="В разработке",0.25,0)))</x:f>
        <x:v>0</x:v>
      </x:c>
      <x:c r="F81" s="13" t="str">
        <x:v>Высокий</x:v>
      </x:c>
      <x:c r="G81" s="13" t="str">
        <x:v>Нет</x:v>
      </x:c>
      <x:c r="H81" s="13" t="str">
        <x:v>V1.0 — табель и аудит</x:v>
      </x:c>
      <x:c r="I81" s="14" t="str">
        <x:v>Функция пока отсутствует в текущей версии.</x:v>
      </x:c>
      <x:c r="J81" s="14" t="str">
        <x:v>Разделить план и факт, хранить точное начало/окончание смены.</x:v>
      </x:c>
      <x:c r="K81" s="13" t="str"/>
      <x:c r="L81" s="16"/>
      <x:c r="M81" s="14" t="str"/>
    </x:row>
    <x:row r="82" ht="42" customHeight="1">
      <x:c r="A82" s="13" t="str">
        <x:v>F-078</x:v>
      </x:c>
      <x:c r="B82" s="13" t="str">
        <x:v>8. Фактически отработанное время</x:v>
      </x:c>
      <x:c r="C82" s="14" t="str">
        <x:v>Учёт опозданий, ранних уходов, неявок и переработок</x:v>
      </x:c>
      <x:c r="D82" s="13" t="str">
        <x:v>Запланировано</x:v>
      </x:c>
      <x:c r="E82" s="15" t="n">
        <x:f>IF(D82="Реализовано",1,IF(D82="Частично",0.5,IF(D82="В разработке",0.25,0)))</x:f>
        <x:v>0</x:v>
      </x:c>
      <x:c r="F82" s="13" t="str">
        <x:v>Высокий</x:v>
      </x:c>
      <x:c r="G82" s="13" t="str">
        <x:v>Нет</x:v>
      </x:c>
      <x:c r="H82" s="13" t="str">
        <x:v>V1.0 — табель и аудит</x:v>
      </x:c>
      <x:c r="I82" s="14" t="str">
        <x:v>Функция пока отсутствует в текущей версии.</x:v>
      </x:c>
      <x:c r="J82" s="14" t="str">
        <x:v>Разделить план и факт, хранить точное начало/окончание смены.</x:v>
      </x:c>
      <x:c r="K82" s="13" t="str"/>
      <x:c r="L82" s="16"/>
      <x:c r="M82" s="14" t="str"/>
    </x:row>
    <x:row r="83" ht="42" customHeight="1">
      <x:c r="A83" s="13" t="str">
        <x:v>F-079</x:v>
      </x:c>
      <x:c r="B83" s="13" t="str">
        <x:v>8. Фактически отработанное время</x:v>
      </x:c>
      <x:c r="C83" s="14" t="str">
        <x:v>Учёт ночной работы, выходных и праздничных дней</x:v>
      </x:c>
      <x:c r="D83" s="13" t="str">
        <x:v>Запланировано</x:v>
      </x:c>
      <x:c r="E83" s="15" t="n">
        <x:f>IF(D83="Реализовано",1,IF(D83="Частично",0.5,IF(D83="В разработке",0.25,0)))</x:f>
        <x:v>0</x:v>
      </x:c>
      <x:c r="F83" s="13" t="str">
        <x:v>Высокий</x:v>
      </x:c>
      <x:c r="G83" s="13" t="str">
        <x:v>Нет</x:v>
      </x:c>
      <x:c r="H83" s="13" t="str">
        <x:v>V1.0 — табель и аудит</x:v>
      </x:c>
      <x:c r="I83" s="14" t="str">
        <x:v>Функция пока отсутствует в текущей версии.</x:v>
      </x:c>
      <x:c r="J83" s="14" t="str">
        <x:v>Разделить план и факт, хранить точное начало/окончание смены.</x:v>
      </x:c>
      <x:c r="K83" s="13" t="str"/>
      <x:c r="L83" s="16"/>
      <x:c r="M83" s="14" t="str"/>
    </x:row>
    <x:row r="84" ht="42" customHeight="1">
      <x:c r="A84" s="13" t="str">
        <x:v>F-080</x:v>
      </x:c>
      <x:c r="B84" s="13" t="str">
        <x:v>8. Фактически отработанное время</x:v>
      </x:c>
      <x:c r="C84" s="14" t="str">
        <x:v>Ручная корректировка фактического времени с причиной</x:v>
      </x:c>
      <x:c r="D84" s="13" t="str">
        <x:v>Частично</x:v>
      </x:c>
      <x:c r="E84" s="15" t="n">
        <x:f>IF(D84="Реализовано",1,IF(D84="Частично",0.5,IF(D84="В разработке",0.25,0)))</x:f>
        <x:v>0.5</x:v>
      </x:c>
      <x:c r="F84" s="13" t="str">
        <x:v>Высокий</x:v>
      </x:c>
      <x:c r="G84" s="13" t="str">
        <x:v>Нет</x:v>
      </x:c>
      <x:c r="H84" s="13" t="str">
        <x:v>V1.0 — табель и аудит</x:v>
      </x:c>
      <x:c r="I84" s="14" t="str">
        <x:v>Есть базовая модель или интерфейс, но полный рабочий сценарий ещё не завершён.</x:v>
      </x:c>
      <x:c r="J84" s="14" t="str">
        <x:v>Разделить план и факт, хранить точное начало/окончание смены.</x:v>
      </x:c>
      <x:c r="K84" s="13" t="str"/>
      <x:c r="L84" s="16"/>
      <x:c r="M84" s="14" t="str"/>
    </x:row>
    <x:row r="85" ht="42" customHeight="1">
      <x:c r="A85" s="13" t="str">
        <x:v>F-081</x:v>
      </x:c>
      <x:c r="B85" s="13" t="str">
        <x:v>8. Фактически отработанное время</x:v>
      </x:c>
      <x:c r="C85" s="14" t="str">
        <x:v>Согласование корректировок руководителем</x:v>
      </x:c>
      <x:c r="D85" s="13" t="str">
        <x:v>Запланировано</x:v>
      </x:c>
      <x:c r="E85" s="15" t="n">
        <x:f>IF(D85="Реализовано",1,IF(D85="Частично",0.5,IF(D85="В разработке",0.25,0)))</x:f>
        <x:v>0</x:v>
      </x:c>
      <x:c r="F85" s="13" t="str">
        <x:v>Высокий</x:v>
      </x:c>
      <x:c r="G85" s="13" t="str">
        <x:v>Нет</x:v>
      </x:c>
      <x:c r="H85" s="13" t="str">
        <x:v>V1.0 — табель и аудит</x:v>
      </x:c>
      <x:c r="I85" s="14" t="str">
        <x:v>Функция пока отсутствует в текущей версии.</x:v>
      </x:c>
      <x:c r="J85" s="14" t="str">
        <x:v>Разделить план и факт, хранить точное начало/окончание смены.</x:v>
      </x:c>
      <x:c r="K85" s="13" t="str"/>
      <x:c r="L85" s="16"/>
      <x:c r="M85" s="14" t="str"/>
    </x:row>
    <x:row r="86" ht="42" customHeight="1">
      <x:c r="A86" s="13" t="str">
        <x:v>F-082</x:v>
      </x:c>
      <x:c r="B86" s="13" t="str">
        <x:v>8. Фактически отработанное время</x:v>
      </x:c>
      <x:c r="C86" s="14" t="str">
        <x:v>Отметка прихода и ухода через QR, PIN, геолокацию или терминал</x:v>
      </x:c>
      <x:c r="D86" s="13" t="str">
        <x:v>Запланировано</x:v>
      </x:c>
      <x:c r="E86" s="15" t="n">
        <x:f>IF(D86="Реализовано",1,IF(D86="Частично",0.5,IF(D86="В разработке",0.25,0)))</x:f>
        <x:v>0</x:v>
      </x:c>
      <x:c r="F86" s="13" t="str">
        <x:v>Высокий</x:v>
      </x:c>
      <x:c r="G86" s="13" t="str">
        <x:v>Нет</x:v>
      </x:c>
      <x:c r="H86" s="13" t="str">
        <x:v>V1.0 — табель и аудит</x:v>
      </x:c>
      <x:c r="I86" s="14" t="str">
        <x:v>Функция пока отсутствует в текущей версии.</x:v>
      </x:c>
      <x:c r="J86" s="14" t="str">
        <x:v>Разделить план и факт, хранить точное начало/окончание смены.</x:v>
      </x:c>
      <x:c r="K86" s="13" t="str"/>
      <x:c r="L86" s="16"/>
      <x:c r="M86" s="14" t="str"/>
    </x:row>
    <x:row r="87" ht="42" customHeight="1">
      <x:c r="A87" s="13" t="str">
        <x:v>F-083</x:v>
      </x:c>
      <x:c r="B87" s="13" t="str">
        <x:v>8. Фактически отработанное время</x:v>
      </x:c>
      <x:c r="C87" s="14" t="str">
        <x:v>Автоматическое выявление отклонений от графика</x:v>
      </x:c>
      <x:c r="D87" s="13" t="str">
        <x:v>Запланировано</x:v>
      </x:c>
      <x:c r="E87" s="15" t="n">
        <x:f>IF(D87="Реализовано",1,IF(D87="Частично",0.5,IF(D87="В разработке",0.25,0)))</x:f>
        <x:v>0</x:v>
      </x:c>
      <x:c r="F87" s="13" t="str">
        <x:v>Высокий</x:v>
      </x:c>
      <x:c r="G87" s="13" t="str">
        <x:v>Нет</x:v>
      </x:c>
      <x:c r="H87" s="13" t="str">
        <x:v>V1.0 — табель и аудит</x:v>
      </x:c>
      <x:c r="I87" s="14" t="str">
        <x:v>Функция пока отсутствует в текущей версии.</x:v>
      </x:c>
      <x:c r="J87" s="14" t="str">
        <x:v>Разделить план и факт, хранить точное начало/окончание смены.</x:v>
      </x:c>
      <x:c r="K87" s="13" t="str"/>
      <x:c r="L87" s="16"/>
      <x:c r="M87" s="14" t="str"/>
    </x:row>
    <x:row r="88" ht="42" customHeight="1">
      <x:c r="A88" s="13" t="str">
        <x:v>F-084</x:v>
      </x:c>
      <x:c r="B88" s="13" t="str">
        <x:v>9. Табель рабочего времени</x:v>
      </x:c>
      <x:c r="C88" s="14" t="str">
        <x:v>Автоматическое формирование табеля по графику и факту</x:v>
      </x:c>
      <x:c r="D88" s="13" t="str">
        <x:v>Частично</x:v>
      </x:c>
      <x:c r="E88" s="15" t="n">
        <x:f>IF(D88="Реализовано",1,IF(D88="Частично",0.5,IF(D88="В разработке",0.25,0)))</x:f>
        <x:v>0.5</x:v>
      </x:c>
      <x:c r="F88" s="13" t="str">
        <x:v>Критический</x:v>
      </x:c>
      <x:c r="G88" s="13" t="str">
        <x:v>Да</x:v>
      </x:c>
      <x:c r="H88" s="13" t="str">
        <x:v>V1.0 — табель и аудит</x:v>
      </x:c>
      <x:c r="I88" s="14" t="str">
        <x:v>Есть базовая модель или интерфейс, но полный рабочий сценарий ещё не завершён.</x:v>
      </x:c>
      <x:c r="J88" s="14" t="str">
        <x:v>Создать закрываемые табельные периоды и экспорт Excel.</x:v>
      </x:c>
      <x:c r="K88" s="13" t="str"/>
      <x:c r="L88" s="16"/>
      <x:c r="M88" s="14" t="str"/>
    </x:row>
    <x:row r="89" ht="42" customHeight="1">
      <x:c r="A89" s="13" t="str">
        <x:v>F-085</x:v>
      </x:c>
      <x:c r="B89" s="13" t="str">
        <x:v>9. Табель рабочего времени</x:v>
      </x:c>
      <x:c r="C89" s="14" t="str">
        <x:v>Автоматическое внесение отпусков, больничных и других отсутствий</x:v>
      </x:c>
      <x:c r="D89" s="13" t="str">
        <x:v>Запланировано</x:v>
      </x:c>
      <x:c r="E89" s="15" t="n">
        <x:f>IF(D89="Реализовано",1,IF(D89="Частично",0.5,IF(D89="В разработке",0.25,0)))</x:f>
        <x:v>0</x:v>
      </x:c>
      <x:c r="F89" s="13" t="str">
        <x:v>Критический</x:v>
      </x:c>
      <x:c r="G89" s="13" t="str">
        <x:v>Да</x:v>
      </x:c>
      <x:c r="H89" s="13" t="str">
        <x:v>V1.0 — табель и аудит</x:v>
      </x:c>
      <x:c r="I89" s="14" t="str">
        <x:v>Функция пока отсутствует в текущей версии.</x:v>
      </x:c>
      <x:c r="J89" s="14" t="str">
        <x:v>Создать закрываемые табельные периоды и экспорт Excel.</x:v>
      </x:c>
      <x:c r="K89" s="13" t="str"/>
      <x:c r="L89" s="16"/>
      <x:c r="M89" s="14" t="str"/>
    </x:row>
    <x:row r="90" ht="42" customHeight="1">
      <x:c r="A90" s="13" t="str">
        <x:v>F-086</x:v>
      </x:c>
      <x:c r="B90" s="13" t="str">
        <x:v>9. Табель рабочего времени</x:v>
      </x:c>
      <x:c r="C90" s="14" t="str">
        <x:v>Буквенные и цифровые обозначения табеля</x:v>
      </x:c>
      <x:c r="D90" s="13" t="str">
        <x:v>Запланировано</x:v>
      </x:c>
      <x:c r="E90" s="15" t="n">
        <x:f>IF(D90="Реализовано",1,IF(D90="Частично",0.5,IF(D90="В разработке",0.25,0)))</x:f>
        <x:v>0</x:v>
      </x:c>
      <x:c r="F90" s="13" t="str">
        <x:v>Критический</x:v>
      </x:c>
      <x:c r="G90" s="13" t="str">
        <x:v>Да</x:v>
      </x:c>
      <x:c r="H90" s="13" t="str">
        <x:v>V1.0 — табель и аудит</x:v>
      </x:c>
      <x:c r="I90" s="14" t="str">
        <x:v>Функция пока отсутствует в текущей версии.</x:v>
      </x:c>
      <x:c r="J90" s="14" t="str">
        <x:v>Создать закрываемые табельные периоды и экспорт Excel.</x:v>
      </x:c>
      <x:c r="K90" s="13" t="str"/>
      <x:c r="L90" s="16"/>
      <x:c r="M90" s="14" t="str"/>
    </x:row>
    <x:row r="91" ht="42" customHeight="1">
      <x:c r="A91" s="13" t="str">
        <x:v>F-087</x:v>
      </x:c>
      <x:c r="B91" s="13" t="str">
        <x:v>9. Табель рабочего времени</x:v>
      </x:c>
      <x:c r="C91" s="14" t="str">
        <x:v>Расчёт отработанных дней и часов</x:v>
      </x:c>
      <x:c r="D91" s="13" t="str">
        <x:v>Частично</x:v>
      </x:c>
      <x:c r="E91" s="15" t="n">
        <x:f>IF(D91="Реализовано",1,IF(D91="Частично",0.5,IF(D91="В разработке",0.25,0)))</x:f>
        <x:v>0.5</x:v>
      </x:c>
      <x:c r="F91" s="13" t="str">
        <x:v>Критический</x:v>
      </x:c>
      <x:c r="G91" s="13" t="str">
        <x:v>Да</x:v>
      </x:c>
      <x:c r="H91" s="13" t="str">
        <x:v>V1.0 — табель и аудит</x:v>
      </x:c>
      <x:c r="I91" s="14" t="str">
        <x:v>Есть базовая модель или интерфейс, но полный рабочий сценарий ещё не завершён.</x:v>
      </x:c>
      <x:c r="J91" s="14" t="str">
        <x:v>Создать закрываемые табельные периоды и экспорт Excel.</x:v>
      </x:c>
      <x:c r="K91" s="13" t="str"/>
      <x:c r="L91" s="16"/>
      <x:c r="M91" s="14" t="str"/>
    </x:row>
    <x:row r="92" ht="42" customHeight="1">
      <x:c r="A92" s="13" t="str">
        <x:v>F-088</x:v>
      </x:c>
      <x:c r="B92" s="13" t="str">
        <x:v>9. Табель рабочего времени</x:v>
      </x:c>
      <x:c r="C92" s="14" t="str">
        <x:v>Расчёт ночных, праздничных и сверхурочных часов</x:v>
      </x:c>
      <x:c r="D92" s="13" t="str">
        <x:v>Запланировано</x:v>
      </x:c>
      <x:c r="E92" s="15" t="n">
        <x:f>IF(D92="Реализовано",1,IF(D92="Частично",0.5,IF(D92="В разработке",0.25,0)))</x:f>
        <x:v>0</x:v>
      </x:c>
      <x:c r="F92" s="13" t="str">
        <x:v>Критический</x:v>
      </x:c>
      <x:c r="G92" s="13" t="str">
        <x:v>Да</x:v>
      </x:c>
      <x:c r="H92" s="13" t="str">
        <x:v>V1.0 — табель и аудит</x:v>
      </x:c>
      <x:c r="I92" s="14" t="str">
        <x:v>Функция пока отсутствует в текущей версии.</x:v>
      </x:c>
      <x:c r="J92" s="14" t="str">
        <x:v>Создать закрываемые табельные периоды и экспорт Excel.</x:v>
      </x:c>
      <x:c r="K92" s="13" t="str"/>
      <x:c r="L92" s="16"/>
      <x:c r="M92" s="14" t="str"/>
    </x:row>
    <x:row r="93" ht="42" customHeight="1">
      <x:c r="A93" s="13" t="str">
        <x:v>F-089</x:v>
      </x:c>
      <x:c r="B93" s="13" t="str">
        <x:v>9. Табель рабочего времени</x:v>
      </x:c>
      <x:c r="C93" s="14" t="str">
        <x:v>Контроль нормы рабочего времени</x:v>
      </x:c>
      <x:c r="D93" s="13" t="str">
        <x:v>Запланировано</x:v>
      </x:c>
      <x:c r="E93" s="15" t="n">
        <x:f>IF(D93="Реализовано",1,IF(D93="Частично",0.5,IF(D93="В разработке",0.25,0)))</x:f>
        <x:v>0</x:v>
      </x:c>
      <x:c r="F93" s="13" t="str">
        <x:v>Критический</x:v>
      </x:c>
      <x:c r="G93" s="13" t="str">
        <x:v>Да</x:v>
      </x:c>
      <x:c r="H93" s="13" t="str">
        <x:v>V1.0 — табель и аудит</x:v>
      </x:c>
      <x:c r="I93" s="14" t="str">
        <x:v>Функция пока отсутствует в текущей версии.</x:v>
      </x:c>
      <x:c r="J93" s="14" t="str">
        <x:v>Создать закрываемые табельные периоды и экспорт Excel.</x:v>
      </x:c>
      <x:c r="K93" s="13" t="str"/>
      <x:c r="L93" s="16"/>
      <x:c r="M93" s="14" t="str"/>
    </x:row>
    <x:row r="94" ht="42" customHeight="1">
      <x:c r="A94" s="13" t="str">
        <x:v>F-090</x:v>
      </x:c>
      <x:c r="B94" s="13" t="str">
        <x:v>9. Табель рабочего времени</x:v>
      </x:c>
      <x:c r="C94" s="14" t="str">
        <x:v>Проверка и утверждение табеля руководителем</x:v>
      </x:c>
      <x:c r="D94" s="13" t="str">
        <x:v>Частично</x:v>
      </x:c>
      <x:c r="E94" s="15" t="n">
        <x:f>IF(D94="Реализовано",1,IF(D94="Частично",0.5,IF(D94="В разработке",0.25,0)))</x:f>
        <x:v>0.5</x:v>
      </x:c>
      <x:c r="F94" s="13" t="str">
        <x:v>Критический</x:v>
      </x:c>
      <x:c r="G94" s="13" t="str">
        <x:v>Да</x:v>
      </x:c>
      <x:c r="H94" s="13" t="str">
        <x:v>V1.0 — табель и аудит</x:v>
      </x:c>
      <x:c r="I94" s="14" t="str">
        <x:v>Есть базовая модель или интерфейс, но полный рабочий сценарий ещё не завершён.</x:v>
      </x:c>
      <x:c r="J94" s="14" t="str">
        <x:v>Создать закрываемые табельные периоды и экспорт Excel.</x:v>
      </x:c>
      <x:c r="K94" s="13" t="str"/>
      <x:c r="L94" s="16"/>
      <x:c r="M94" s="14" t="str"/>
    </x:row>
    <x:row r="95" ht="42" customHeight="1">
      <x:c r="A95" s="13" t="str">
        <x:v>F-091</x:v>
      </x:c>
      <x:c r="B95" s="13" t="str">
        <x:v>9. Табель рабочего времени</x:v>
      </x:c>
      <x:c r="C95" s="14" t="str">
        <x:v>Блокировка утверждённого периода</x:v>
      </x:c>
      <x:c r="D95" s="13" t="str">
        <x:v>Частично</x:v>
      </x:c>
      <x:c r="E95" s="15" t="n">
        <x:f>IF(D95="Реализовано",1,IF(D95="Частично",0.5,IF(D95="В разработке",0.25,0)))</x:f>
        <x:v>0.5</x:v>
      </x:c>
      <x:c r="F95" s="13" t="str">
        <x:v>Критический</x:v>
      </x:c>
      <x:c r="G95" s="13" t="str">
        <x:v>Да</x:v>
      </x:c>
      <x:c r="H95" s="13" t="str">
        <x:v>V1.0 — табель и аудит</x:v>
      </x:c>
      <x:c r="I95" s="14" t="str">
        <x:v>Есть базовая модель или интерфейс, но полный рабочий сценарий ещё не завершён.</x:v>
      </x:c>
      <x:c r="J95" s="14" t="str">
        <x:v>Создать закрываемые табельные периоды и экспорт Excel.</x:v>
      </x:c>
      <x:c r="K95" s="13" t="str"/>
      <x:c r="L95" s="16"/>
      <x:c r="M95" s="14" t="str"/>
    </x:row>
    <x:row r="96" ht="42" customHeight="1">
      <x:c r="A96" s="13" t="str">
        <x:v>F-092</x:v>
      </x:c>
      <x:c r="B96" s="13" t="str">
        <x:v>9. Табель рабочего времени</x:v>
      </x:c>
      <x:c r="C96" s="14" t="str">
        <x:v>Формирование корректирующего табеля</x:v>
      </x:c>
      <x:c r="D96" s="13" t="str">
        <x:v>Запланировано</x:v>
      </x:c>
      <x:c r="E96" s="15" t="n">
        <x:f>IF(D96="Реализовано",1,IF(D96="Частично",0.5,IF(D96="В разработке",0.25,0)))</x:f>
        <x:v>0</x:v>
      </x:c>
      <x:c r="F96" s="13" t="str">
        <x:v>Критический</x:v>
      </x:c>
      <x:c r="G96" s="13" t="str">
        <x:v>Да</x:v>
      </x:c>
      <x:c r="H96" s="13" t="str">
        <x:v>V1.0 — табель и аудит</x:v>
      </x:c>
      <x:c r="I96" s="14" t="str">
        <x:v>Функция пока отсутствует в текущей версии.</x:v>
      </x:c>
      <x:c r="J96" s="14" t="str">
        <x:v>Создать закрываемые табельные периоды и экспорт Excel.</x:v>
      </x:c>
      <x:c r="K96" s="13" t="str"/>
      <x:c r="L96" s="16"/>
      <x:c r="M96" s="14" t="str"/>
    </x:row>
    <x:row r="97" ht="42" customHeight="1">
      <x:c r="A97" s="13" t="str">
        <x:v>F-093</x:v>
      </x:c>
      <x:c r="B97" s="13" t="str">
        <x:v>9. Табель рабочего времени</x:v>
      </x:c>
      <x:c r="C97" s="14" t="str">
        <x:v>Выгрузка табеля в Excel и PDF</x:v>
      </x:c>
      <x:c r="D97" s="13" t="str">
        <x:v>Запланировано</x:v>
      </x:c>
      <x:c r="E97" s="15" t="n">
        <x:f>IF(D97="Реализовано",1,IF(D97="Частично",0.5,IF(D97="В разработке",0.25,0)))</x:f>
        <x:v>0</x:v>
      </x:c>
      <x:c r="F97" s="13" t="str">
        <x:v>Критический</x:v>
      </x:c>
      <x:c r="G97" s="13" t="str">
        <x:v>Да</x:v>
      </x:c>
      <x:c r="H97" s="13" t="str">
        <x:v>V1.0 — табель и аудит</x:v>
      </x:c>
      <x:c r="I97" s="14" t="str">
        <x:v>Функция пока отсутствует в текущей версии.</x:v>
      </x:c>
      <x:c r="J97" s="14" t="str">
        <x:v>Создать закрываемые табельные периоды и экспорт Excel.</x:v>
      </x:c>
      <x:c r="K97" s="13" t="str"/>
      <x:c r="L97" s="16"/>
      <x:c r="M97" s="14" t="str"/>
    </x:row>
    <x:row r="98" ht="42" customHeight="1">
      <x:c r="A98" s="13" t="str">
        <x:v>F-094</x:v>
      </x:c>
      <x:c r="B98" s="13" t="str">
        <x:v>9. Табель рабочего времени</x:v>
      </x:c>
      <x:c r="C98" s="14" t="str">
        <x:v>Подготовка данных для передачи в 1С</x:v>
      </x:c>
      <x:c r="D98" s="13" t="str">
        <x:v>Запланировано</x:v>
      </x:c>
      <x:c r="E98" s="15" t="n">
        <x:f>IF(D98="Реализовано",1,IF(D98="Частично",0.5,IF(D98="В разработке",0.25,0)))</x:f>
        <x:v>0</x:v>
      </x:c>
      <x:c r="F98" s="13" t="str">
        <x:v>Критический</x:v>
      </x:c>
      <x:c r="G98" s="13" t="str">
        <x:v>Да</x:v>
      </x:c>
      <x:c r="H98" s="13" t="str">
        <x:v>V1.0 — табель и аудит</x:v>
      </x:c>
      <x:c r="I98" s="14" t="str">
        <x:v>Функция пока отсутствует в текущей версии.</x:v>
      </x:c>
      <x:c r="J98" s="14" t="str">
        <x:v>Создать закрываемые табельные периоды и экспорт Excel.</x:v>
      </x:c>
      <x:c r="K98" s="13" t="str"/>
      <x:c r="L98" s="16"/>
      <x:c r="M98" s="14" t="str"/>
    </x:row>
    <x:row r="99" ht="42" customHeight="1">
      <x:c r="A99" s="13" t="str">
        <x:v>F-095</x:v>
      </x:c>
      <x:c r="B99" s="13" t="str">
        <x:v>10. Расчёт заработной платы</x:v>
      </x:c>
      <x:c r="C99" s="14" t="str">
        <x:v>Часовая или сменная ставка сотрудника</x:v>
      </x:c>
      <x:c r="D99" s="13" t="str">
        <x:v>Частично</x:v>
      </x:c>
      <x:c r="E99" s="15" t="n">
        <x:f>IF(D99="Реализовано",1,IF(D99="Частично",0.5,IF(D99="В разработке",0.25,0)))</x:f>
        <x:v>0.5</x:v>
      </x:c>
      <x:c r="F99" s="13" t="str">
        <x:v>Низкий</x:v>
      </x:c>
      <x:c r="G99" s="13" t="str">
        <x:v>Нет</x:v>
      </x:c>
      <x:c r="H99" s="13" t="str">
        <x:v>V1.2 — аналитика и зарплата</x:v>
      </x:c>
      <x:c r="I99" s="14" t="str">
        <x:v>Есть базовая модель или интерфейс, но полный рабочий сценарий ещё не завершён.</x:v>
      </x:c>
      <x:c r="J99" s="14" t="str">
        <x:v>Вынести расчёты оплаты в тестируемый бизнес-модуль.</x:v>
      </x:c>
      <x:c r="K99" s="13" t="str"/>
      <x:c r="L99" s="16"/>
      <x:c r="M99" s="14" t="str"/>
    </x:row>
    <x:row r="100" ht="42" customHeight="1">
      <x:c r="A100" s="13" t="str">
        <x:v>F-096</x:v>
      </x:c>
      <x:c r="B100" s="13" t="str">
        <x:v>10. Расчёт заработной платы</x:v>
      </x:c>
      <x:c r="C100" s="14" t="str">
        <x:v>Предварительный расчёт заработка по графику</x:v>
      </x:c>
      <x:c r="D100" s="13" t="str">
        <x:v>Запланировано</x:v>
      </x:c>
      <x:c r="E100" s="15" t="n">
        <x:f>IF(D100="Реализовано",1,IF(D100="Частично",0.5,IF(D100="В разработке",0.25,0)))</x:f>
        <x:v>0</x:v>
      </x:c>
      <x:c r="F100" s="13" t="str">
        <x:v>Низкий</x:v>
      </x:c>
      <x:c r="G100" s="13" t="str">
        <x:v>Нет</x:v>
      </x:c>
      <x:c r="H100" s="13" t="str">
        <x:v>V1.2 — аналитика и зарплата</x:v>
      </x:c>
      <x:c r="I100" s="14" t="str">
        <x:v>Функция пока отсутствует в текущей версии.</x:v>
      </x:c>
      <x:c r="J100" s="14" t="str">
        <x:v>Вынести расчёты оплаты в тестируемый бизнес-модуль.</x:v>
      </x:c>
      <x:c r="K100" s="13" t="str"/>
      <x:c r="L100" s="16"/>
      <x:c r="M100" s="14" t="str"/>
    </x:row>
    <x:row r="101" ht="42" customHeight="1">
      <x:c r="A101" s="13" t="str">
        <x:v>F-097</x:v>
      </x:c>
      <x:c r="B101" s="13" t="str">
        <x:v>10. Расчёт заработной платы</x:v>
      </x:c>
      <x:c r="C101" s="14" t="str">
        <x:v>Расчёт заработка по фактически отработанному времени</x:v>
      </x:c>
      <x:c r="D101" s="13" t="str">
        <x:v>Запланировано</x:v>
      </x:c>
      <x:c r="E101" s="15" t="n">
        <x:f>IF(D101="Реализовано",1,IF(D101="Частично",0.5,IF(D101="В разработке",0.25,0)))</x:f>
        <x:v>0</x:v>
      </x:c>
      <x:c r="F101" s="13" t="str">
        <x:v>Низкий</x:v>
      </x:c>
      <x:c r="G101" s="13" t="str">
        <x:v>Нет</x:v>
      </x:c>
      <x:c r="H101" s="13" t="str">
        <x:v>V1.2 — аналитика и зарплата</x:v>
      </x:c>
      <x:c r="I101" s="14" t="str">
        <x:v>Функция пока отсутствует в текущей версии.</x:v>
      </x:c>
      <x:c r="J101" s="14" t="str">
        <x:v>Вынести расчёты оплаты в тестируемый бизнес-модуль.</x:v>
      </x:c>
      <x:c r="K101" s="13" t="str"/>
      <x:c r="L101" s="16"/>
      <x:c r="M101" s="14" t="str"/>
    </x:row>
    <x:row r="102" ht="42" customHeight="1">
      <x:c r="A102" s="13" t="str">
        <x:v>F-098</x:v>
      </x:c>
      <x:c r="B102" s="13" t="str">
        <x:v>10. Расчёт заработной платы</x:v>
      </x:c>
      <x:c r="C102" s="14" t="str">
        <x:v>Доплаты за ночные, праздничные и сверхурочные часы</x:v>
      </x:c>
      <x:c r="D102" s="13" t="str">
        <x:v>Запланировано</x:v>
      </x:c>
      <x:c r="E102" s="15" t="n">
        <x:f>IF(D102="Реализовано",1,IF(D102="Частично",0.5,IF(D102="В разработке",0.25,0)))</x:f>
        <x:v>0</x:v>
      </x:c>
      <x:c r="F102" s="13" t="str">
        <x:v>Низкий</x:v>
      </x:c>
      <x:c r="G102" s="13" t="str">
        <x:v>Нет</x:v>
      </x:c>
      <x:c r="H102" s="13" t="str">
        <x:v>V1.2 — аналитика и зарплата</x:v>
      </x:c>
      <x:c r="I102" s="14" t="str">
        <x:v>Функция пока отсутствует в текущей версии.</x:v>
      </x:c>
      <x:c r="J102" s="14" t="str">
        <x:v>Вынести расчёты оплаты в тестируемый бизнес-модуль.</x:v>
      </x:c>
      <x:c r="K102" s="13" t="str"/>
      <x:c r="L102" s="16"/>
      <x:c r="M102" s="14" t="str"/>
    </x:row>
    <x:row r="103" ht="42" customHeight="1">
      <x:c r="A103" s="13" t="str">
        <x:v>F-099</x:v>
      </x:c>
      <x:c r="B103" s="13" t="str">
        <x:v>10. Расчёт заработной платы</x:v>
      </x:c>
      <x:c r="C103" s="14" t="str">
        <x:v>Премии и удержания</x:v>
      </x:c>
      <x:c r="D103" s="13" t="str">
        <x:v>Частично</x:v>
      </x:c>
      <x:c r="E103" s="15" t="n">
        <x:f>IF(D103="Реализовано",1,IF(D103="Частично",0.5,IF(D103="В разработке",0.25,0)))</x:f>
        <x:v>0.5</x:v>
      </x:c>
      <x:c r="F103" s="13" t="str">
        <x:v>Низкий</x:v>
      </x:c>
      <x:c r="G103" s="13" t="str">
        <x:v>Нет</x:v>
      </x:c>
      <x:c r="H103" s="13" t="str">
        <x:v>V1.2 — аналитика и зарплата</x:v>
      </x:c>
      <x:c r="I103" s="14" t="str">
        <x:v>Есть базовая модель или интерфейс, но полный рабочий сценарий ещё не завершён.</x:v>
      </x:c>
      <x:c r="J103" s="14" t="str">
        <x:v>Вынести расчёты оплаты в тестируемый бизнес-модуль.</x:v>
      </x:c>
      <x:c r="K103" s="13" t="str"/>
      <x:c r="L103" s="16"/>
      <x:c r="M103" s="14" t="str"/>
    </x:row>
    <x:row r="104" ht="42" customHeight="1">
      <x:c r="A104" s="13" t="str">
        <x:v>F-100</x:v>
      </x:c>
      <x:c r="B104" s="13" t="str">
        <x:v>10. Расчёт заработной платы</x:v>
      </x:c>
      <x:c r="C104" s="14" t="str">
        <x:v>Фонд оплаты труда при составлении графика</x:v>
      </x:c>
      <x:c r="D104" s="13" t="str">
        <x:v>Запланировано</x:v>
      </x:c>
      <x:c r="E104" s="15" t="n">
        <x:f>IF(D104="Реализовано",1,IF(D104="Частично",0.5,IF(D104="В разработке",0.25,0)))</x:f>
        <x:v>0</x:v>
      </x:c>
      <x:c r="F104" s="13" t="str">
        <x:v>Низкий</x:v>
      </x:c>
      <x:c r="G104" s="13" t="str">
        <x:v>Нет</x:v>
      </x:c>
      <x:c r="H104" s="13" t="str">
        <x:v>V1.2 — аналитика и зарплата</x:v>
      </x:c>
      <x:c r="I104" s="14" t="str">
        <x:v>Функция пока отсутствует в текущей версии.</x:v>
      </x:c>
      <x:c r="J104" s="14" t="str">
        <x:v>Вынести расчёты оплаты в тестируемый бизнес-модуль.</x:v>
      </x:c>
      <x:c r="K104" s="13" t="str"/>
      <x:c r="L104" s="16"/>
      <x:c r="M104" s="14" t="str"/>
    </x:row>
    <x:row r="105" ht="42" customHeight="1">
      <x:c r="A105" s="13" t="str">
        <x:v>F-101</x:v>
      </x:c>
      <x:c r="B105" s="13" t="str">
        <x:v>10. Расчёт заработной платы</x:v>
      </x:c>
      <x:c r="C105" s="14" t="str">
        <x:v>Предупреждение о превышении бюджета</x:v>
      </x:c>
      <x:c r="D105" s="13" t="str">
        <x:v>Запланировано</x:v>
      </x:c>
      <x:c r="E105" s="15" t="n">
        <x:f>IF(D105="Реализовано",1,IF(D105="Частично",0.5,IF(D105="В разработке",0.25,0)))</x:f>
        <x:v>0</x:v>
      </x:c>
      <x:c r="F105" s="13" t="str">
        <x:v>Низкий</x:v>
      </x:c>
      <x:c r="G105" s="13" t="str">
        <x:v>Нет</x:v>
      </x:c>
      <x:c r="H105" s="13" t="str">
        <x:v>V1.2 — аналитика и зарплата</x:v>
      </x:c>
      <x:c r="I105" s="14" t="str">
        <x:v>Функция пока отсутствует в текущей версии.</x:v>
      </x:c>
      <x:c r="J105" s="14" t="str">
        <x:v>Вынести расчёты оплаты в тестируемый бизнес-модуль.</x:v>
      </x:c>
      <x:c r="K105" s="13" t="str"/>
      <x:c r="L105" s="16"/>
      <x:c r="M105" s="14" t="str"/>
    </x:row>
    <x:row r="106" ht="42" customHeight="1">
      <x:c r="A106" s="13" t="str">
        <x:v>F-102</x:v>
      </x:c>
      <x:c r="B106" s="13" t="str">
        <x:v>10. Расчёт заработной платы</x:v>
      </x:c>
      <x:c r="C106" s="14" t="str">
        <x:v>Выгрузка расчётных данных для бухгалтерии</x:v>
      </x:c>
      <x:c r="D106" s="13" t="str">
        <x:v>Запланировано</x:v>
      </x:c>
      <x:c r="E106" s="15" t="n">
        <x:f>IF(D106="Реализовано",1,IF(D106="Частично",0.5,IF(D106="В разработке",0.25,0)))</x:f>
        <x:v>0</x:v>
      </x:c>
      <x:c r="F106" s="13" t="str">
        <x:v>Низкий</x:v>
      </x:c>
      <x:c r="G106" s="13" t="str">
        <x:v>Нет</x:v>
      </x:c>
      <x:c r="H106" s="13" t="str">
        <x:v>V1.2 — аналитика и зарплата</x:v>
      </x:c>
      <x:c r="I106" s="14" t="str">
        <x:v>Функция пока отсутствует в текущей версии.</x:v>
      </x:c>
      <x:c r="J106" s="14" t="str">
        <x:v>Вынести расчёты оплаты в тестируемый бизнес-модуль.</x:v>
      </x:c>
      <x:c r="K106" s="13" t="str"/>
      <x:c r="L106" s="16"/>
      <x:c r="M106" s="14" t="str"/>
    </x:row>
    <x:row r="107" ht="42" customHeight="1">
      <x:c r="A107" s="13" t="str">
        <x:v>F-103</x:v>
      </x:c>
      <x:c r="B107" s="13" t="str">
        <x:v>11. Аналитика и отчётность</x:v>
      </x:c>
      <x:c r="C107" s="14" t="str">
        <x:v>Отчёт по плановым и фактически отработанным часам</x:v>
      </x:c>
      <x:c r="D107" s="13" t="str">
        <x:v>Частично</x:v>
      </x:c>
      <x:c r="E107" s="15" t="n">
        <x:f>IF(D107="Реализовано",1,IF(D107="Частично",0.5,IF(D107="В разработке",0.25,0)))</x:f>
        <x:v>0.5</x:v>
      </x:c>
      <x:c r="F107" s="13" t="str">
        <x:v>Средний</x:v>
      </x:c>
      <x:c r="G107" s="13" t="str">
        <x:v>Нет</x:v>
      </x:c>
      <x:c r="H107" s="13" t="str">
        <x:v>V1.2 — аналитика и зарплата</x:v>
      </x:c>
      <x:c r="I107" s="14" t="str">
        <x:v>Есть базовая модель или интерфейс, но полный рабочий сценарий ещё не завершён.</x:v>
      </x:c>
      <x:c r="J107" s="14" t="str">
        <x:v>Построить отчёты на плановых и фактических данных.</x:v>
      </x:c>
      <x:c r="K107" s="13" t="str"/>
      <x:c r="L107" s="16"/>
      <x:c r="M107" s="14" t="str"/>
    </x:row>
    <x:row r="108" ht="42" customHeight="1">
      <x:c r="A108" s="13" t="str">
        <x:v>F-104</x:v>
      </x:c>
      <x:c r="B108" s="13" t="str">
        <x:v>11. Аналитика и отчётность</x:v>
      </x:c>
      <x:c r="C108" s="14" t="str">
        <x:v>Отчёт по опозданиям, неявкам и ранним уходам</x:v>
      </x:c>
      <x:c r="D108" s="13" t="str">
        <x:v>Запланировано</x:v>
      </x:c>
      <x:c r="E108" s="15" t="n">
        <x:f>IF(D108="Реализовано",1,IF(D108="Частично",0.5,IF(D108="В разработке",0.25,0)))</x:f>
        <x:v>0</x:v>
      </x:c>
      <x:c r="F108" s="13" t="str">
        <x:v>Средний</x:v>
      </x:c>
      <x:c r="G108" s="13" t="str">
        <x:v>Нет</x:v>
      </x:c>
      <x:c r="H108" s="13" t="str">
        <x:v>V1.2 — аналитика и зарплата</x:v>
      </x:c>
      <x:c r="I108" s="14" t="str">
        <x:v>Функция пока отсутствует в текущей версии.</x:v>
      </x:c>
      <x:c r="J108" s="14" t="str">
        <x:v>Построить отчёты на плановых и фактических данных.</x:v>
      </x:c>
      <x:c r="K108" s="13" t="str"/>
      <x:c r="L108" s="16"/>
      <x:c r="M108" s="14" t="str"/>
    </x:row>
    <x:row r="109" ht="42" customHeight="1">
      <x:c r="A109" s="13" t="str">
        <x:v>F-105</x:v>
      </x:c>
      <x:c r="B109" s="13" t="str">
        <x:v>11. Аналитика и отчётность</x:v>
      </x:c>
      <x:c r="C109" s="14" t="str">
        <x:v>Отчёт по переработкам и сверхурочным часам</x:v>
      </x:c>
      <x:c r="D109" s="13" t="str">
        <x:v>Запланировано</x:v>
      </x:c>
      <x:c r="E109" s="15" t="n">
        <x:f>IF(D109="Реализовано",1,IF(D109="Частично",0.5,IF(D109="В разработке",0.25,0)))</x:f>
        <x:v>0</x:v>
      </x:c>
      <x:c r="F109" s="13" t="str">
        <x:v>Средний</x:v>
      </x:c>
      <x:c r="G109" s="13" t="str">
        <x:v>Нет</x:v>
      </x:c>
      <x:c r="H109" s="13" t="str">
        <x:v>V1.2 — аналитика и зарплата</x:v>
      </x:c>
      <x:c r="I109" s="14" t="str">
        <x:v>Функция пока отсутствует в текущей версии.</x:v>
      </x:c>
      <x:c r="J109" s="14" t="str">
        <x:v>Построить отчёты на плановых и фактических данных.</x:v>
      </x:c>
      <x:c r="K109" s="13" t="str"/>
      <x:c r="L109" s="16"/>
      <x:c r="M109" s="14" t="str"/>
    </x:row>
    <x:row r="110" ht="42" customHeight="1">
      <x:c r="A110" s="13" t="str">
        <x:v>F-106</x:v>
      </x:c>
      <x:c r="B110" s="13" t="str">
        <x:v>11. Аналитика и отчётность</x:v>
      </x:c>
      <x:c r="C110" s="14" t="str">
        <x:v>Отчёт по отпускам, больничным и отсутствиям</x:v>
      </x:c>
      <x:c r="D110" s="13" t="str">
        <x:v>Запланировано</x:v>
      </x:c>
      <x:c r="E110" s="15" t="n">
        <x:f>IF(D110="Реализовано",1,IF(D110="Частично",0.5,IF(D110="В разработке",0.25,0)))</x:f>
        <x:v>0</x:v>
      </x:c>
      <x:c r="F110" s="13" t="str">
        <x:v>Средний</x:v>
      </x:c>
      <x:c r="G110" s="13" t="str">
        <x:v>Нет</x:v>
      </x:c>
      <x:c r="H110" s="13" t="str">
        <x:v>V1.2 — аналитика и зарплата</x:v>
      </x:c>
      <x:c r="I110" s="14" t="str">
        <x:v>Функция пока отсутствует в текущей версии.</x:v>
      </x:c>
      <x:c r="J110" s="14" t="str">
        <x:v>Построить отчёты на плановых и фактических данных.</x:v>
      </x:c>
      <x:c r="K110" s="13" t="str"/>
      <x:c r="L110" s="16"/>
      <x:c r="M110" s="14" t="str"/>
    </x:row>
    <x:row r="111" ht="42" customHeight="1">
      <x:c r="A111" s="13" t="str">
        <x:v>F-107</x:v>
      </x:c>
      <x:c r="B111" s="13" t="str">
        <x:v>11. Аналитика и отчётность</x:v>
      </x:c>
      <x:c r="C111" s="14" t="str">
        <x:v>Отчёт по свободным и незакрытым сменам</x:v>
      </x:c>
      <x:c r="D111" s="13" t="str">
        <x:v>Запланировано</x:v>
      </x:c>
      <x:c r="E111" s="15" t="n">
        <x:f>IF(D111="Реализовано",1,IF(D111="Частично",0.5,IF(D111="В разработке",0.25,0)))</x:f>
        <x:v>0</x:v>
      </x:c>
      <x:c r="F111" s="13" t="str">
        <x:v>Средний</x:v>
      </x:c>
      <x:c r="G111" s="13" t="str">
        <x:v>Нет</x:v>
      </x:c>
      <x:c r="H111" s="13" t="str">
        <x:v>V1.2 — аналитика и зарплата</x:v>
      </x:c>
      <x:c r="I111" s="14" t="str">
        <x:v>Функция пока отсутствует в текущей версии.</x:v>
      </x:c>
      <x:c r="J111" s="14" t="str">
        <x:v>Построить отчёты на плановых и фактических данных.</x:v>
      </x:c>
      <x:c r="K111" s="13" t="str"/>
      <x:c r="L111" s="16"/>
      <x:c r="M111" s="14" t="str"/>
    </x:row>
    <x:row r="112" ht="42" customHeight="1">
      <x:c r="A112" s="13" t="str">
        <x:v>F-108</x:v>
      </x:c>
      <x:c r="B112" s="13" t="str">
        <x:v>11. Аналитика и отчётность</x:v>
      </x:c>
      <x:c r="C112" s="14" t="str">
        <x:v>Анализ загрузки каждого сотрудника</x:v>
      </x:c>
      <x:c r="D112" s="13" t="str">
        <x:v>Запланировано</x:v>
      </x:c>
      <x:c r="E112" s="15" t="n">
        <x:f>IF(D112="Реализовано",1,IF(D112="Частично",0.5,IF(D112="В разработке",0.25,0)))</x:f>
        <x:v>0</x:v>
      </x:c>
      <x:c r="F112" s="13" t="str">
        <x:v>Средний</x:v>
      </x:c>
      <x:c r="G112" s="13" t="str">
        <x:v>Нет</x:v>
      </x:c>
      <x:c r="H112" s="13" t="str">
        <x:v>V1.2 — аналитика и зарплата</x:v>
      </x:c>
      <x:c r="I112" s="14" t="str">
        <x:v>Функция пока отсутствует в текущей версии.</x:v>
      </x:c>
      <x:c r="J112" s="14" t="str">
        <x:v>Построить отчёты на плановых и фактических данных.</x:v>
      </x:c>
      <x:c r="K112" s="13" t="str"/>
      <x:c r="L112" s="16"/>
      <x:c r="M112" s="14" t="str"/>
    </x:row>
    <x:row r="113" ht="42" customHeight="1">
      <x:c r="A113" s="13" t="str">
        <x:v>F-109</x:v>
      </x:c>
      <x:c r="B113" s="13" t="str">
        <x:v>11. Аналитика и отчётность</x:v>
      </x:c>
      <x:c r="C113" s="14" t="str">
        <x:v>Анализ обеспеченности подразделения персоналом</x:v>
      </x:c>
      <x:c r="D113" s="13" t="str">
        <x:v>Запланировано</x:v>
      </x:c>
      <x:c r="E113" s="15" t="n">
        <x:f>IF(D113="Реализовано",1,IF(D113="Частично",0.5,IF(D113="В разработке",0.25,0)))</x:f>
        <x:v>0</x:v>
      </x:c>
      <x:c r="F113" s="13" t="str">
        <x:v>Средний</x:v>
      </x:c>
      <x:c r="G113" s="13" t="str">
        <x:v>Нет</x:v>
      </x:c>
      <x:c r="H113" s="13" t="str">
        <x:v>V1.2 — аналитика и зарплата</x:v>
      </x:c>
      <x:c r="I113" s="14" t="str">
        <x:v>Функция пока отсутствует в текущей версии.</x:v>
      </x:c>
      <x:c r="J113" s="14" t="str">
        <x:v>Построить отчёты на плановых и фактических данных.</x:v>
      </x:c>
      <x:c r="K113" s="13" t="str"/>
      <x:c r="L113" s="16"/>
      <x:c r="M113" s="14" t="str"/>
    </x:row>
    <x:row r="114" ht="42" customHeight="1">
      <x:c r="A114" s="13" t="str">
        <x:v>F-110</x:v>
      </x:c>
      <x:c r="B114" s="13" t="str">
        <x:v>11. Аналитика и отчётность</x:v>
      </x:c>
      <x:c r="C114" s="14" t="str">
        <x:v>Выявление периодов дефицита сотрудников</x:v>
      </x:c>
      <x:c r="D114" s="13" t="str">
        <x:v>Запланировано</x:v>
      </x:c>
      <x:c r="E114" s="15" t="n">
        <x:f>IF(D114="Реализовано",1,IF(D114="Частично",0.5,IF(D114="В разработке",0.25,0)))</x:f>
        <x:v>0</x:v>
      </x:c>
      <x:c r="F114" s="13" t="str">
        <x:v>Средний</x:v>
      </x:c>
      <x:c r="G114" s="13" t="str">
        <x:v>Нет</x:v>
      </x:c>
      <x:c r="H114" s="13" t="str">
        <x:v>V1.2 — аналитика и зарплата</x:v>
      </x:c>
      <x:c r="I114" s="14" t="str">
        <x:v>Функция пока отсутствует в текущей версии.</x:v>
      </x:c>
      <x:c r="J114" s="14" t="str">
        <x:v>Построить отчёты на плановых и фактических данных.</x:v>
      </x:c>
      <x:c r="K114" s="13" t="str"/>
      <x:c r="L114" s="16"/>
      <x:c r="M114" s="14" t="str"/>
    </x:row>
    <x:row r="115" ht="42" customHeight="1">
      <x:c r="A115" s="13" t="str">
        <x:v>F-111</x:v>
      </x:c>
      <x:c r="B115" s="13" t="str">
        <x:v>11. Аналитика и отчётность</x:v>
      </x:c>
      <x:c r="C115" s="14" t="str">
        <x:v>Отчёт по заменам и обменам сменами</x:v>
      </x:c>
      <x:c r="D115" s="13" t="str">
        <x:v>Запланировано</x:v>
      </x:c>
      <x:c r="E115" s="15" t="n">
        <x:f>IF(D115="Реализовано",1,IF(D115="Частично",0.5,IF(D115="В разработке",0.25,0)))</x:f>
        <x:v>0</x:v>
      </x:c>
      <x:c r="F115" s="13" t="str">
        <x:v>Средний</x:v>
      </x:c>
      <x:c r="G115" s="13" t="str">
        <x:v>Нет</x:v>
      </x:c>
      <x:c r="H115" s="13" t="str">
        <x:v>V1.2 — аналитика и зарплата</x:v>
      </x:c>
      <x:c r="I115" s="14" t="str">
        <x:v>Функция пока отсутствует в текущей версии.</x:v>
      </x:c>
      <x:c r="J115" s="14" t="str">
        <x:v>Построить отчёты на плановых и фактических данных.</x:v>
      </x:c>
      <x:c r="K115" s="13" t="str"/>
      <x:c r="L115" s="16"/>
      <x:c r="M115" s="14" t="str"/>
    </x:row>
    <x:row r="116" ht="42" customHeight="1">
      <x:c r="A116" s="13" t="str">
        <x:v>F-112</x:v>
      </x:c>
      <x:c r="B116" s="13" t="str">
        <x:v>11. Аналитика и отчётность</x:v>
      </x:c>
      <x:c r="C116" s="14" t="str">
        <x:v>Расчёт фонда рабочего времени подразделения</x:v>
      </x:c>
      <x:c r="D116" s="13" t="str">
        <x:v>Запланировано</x:v>
      </x:c>
      <x:c r="E116" s="15" t="n">
        <x:f>IF(D116="Реализовано",1,IF(D116="Частично",0.5,IF(D116="В разработке",0.25,0)))</x:f>
        <x:v>0</x:v>
      </x:c>
      <x:c r="F116" s="13" t="str">
        <x:v>Средний</x:v>
      </x:c>
      <x:c r="G116" s="13" t="str">
        <x:v>Нет</x:v>
      </x:c>
      <x:c r="H116" s="13" t="str">
        <x:v>V1.2 — аналитика и зарплата</x:v>
      </x:c>
      <x:c r="I116" s="14" t="str">
        <x:v>Функция пока отсутствует в текущей версии.</x:v>
      </x:c>
      <x:c r="J116" s="14" t="str">
        <x:v>Построить отчёты на плановых и фактических данных.</x:v>
      </x:c>
      <x:c r="K116" s="13" t="str"/>
      <x:c r="L116" s="16"/>
      <x:c r="M116" s="14" t="str"/>
    </x:row>
    <x:row r="117" ht="42" customHeight="1">
      <x:c r="A117" s="13" t="str">
        <x:v>F-113</x:v>
      </x:c>
      <x:c r="B117" s="13" t="str">
        <x:v>11. Аналитика и отчётность</x:v>
      </x:c>
      <x:c r="C117" s="14" t="str">
        <x:v>Экспорт отчётов в Excel и PDF</x:v>
      </x:c>
      <x:c r="D117" s="13" t="str">
        <x:v>Запланировано</x:v>
      </x:c>
      <x:c r="E117" s="15" t="n">
        <x:f>IF(D117="Реализовано",1,IF(D117="Частично",0.5,IF(D117="В разработке",0.25,0)))</x:f>
        <x:v>0</x:v>
      </x:c>
      <x:c r="F117" s="13" t="str">
        <x:v>Средний</x:v>
      </x:c>
      <x:c r="G117" s="13" t="str">
        <x:v>Нет</x:v>
      </x:c>
      <x:c r="H117" s="13" t="str">
        <x:v>V1.2 — аналитика и зарплата</x:v>
      </x:c>
      <x:c r="I117" s="14" t="str">
        <x:v>Функция пока отсутствует в текущей версии.</x:v>
      </x:c>
      <x:c r="J117" s="14" t="str">
        <x:v>Построить отчёты на плановых и фактических данных.</x:v>
      </x:c>
      <x:c r="K117" s="13" t="str"/>
      <x:c r="L117" s="16"/>
      <x:c r="M117" s="14" t="str"/>
    </x:row>
    <x:row r="118" ht="42" customHeight="1">
      <x:c r="A118" s="13" t="str">
        <x:v>F-114</x:v>
      </x:c>
      <x:c r="B118" s="13" t="str">
        <x:v>12. Роли и права доступа</x:v>
      </x:c>
      <x:c r="C118" s="14" t="str">
        <x:v>Роль администратора системы</x:v>
      </x:c>
      <x:c r="D118" s="13" t="str">
        <x:v>Реализовано</x:v>
      </x:c>
      <x:c r="E118" s="15" t="n">
        <x:f>IF(D118="Реализовано",1,IF(D118="Частично",0.5,IF(D118="В разработке",0.25,0)))</x:f>
        <x:v>1</x:v>
      </x:c>
      <x:c r="F118" s="13" t="str">
        <x:v>Критический</x:v>
      </x:c>
      <x:c r="G118" s="13" t="str">
        <x:v>Да</x:v>
      </x:c>
      <x:c r="H118" s="13" t="str">
        <x:v>Фундамент</x:v>
      </x:c>
      <x:c r="I118" s="14" t="str">
        <x:v>Функция работает в текущем приложении и серверном API.</x:v>
      </x:c>
      <x:c r="J118" s="14" t="str">
        <x:v>Расширить RBAC ролями кадровика и бухгалтера.</x:v>
      </x:c>
      <x:c r="K118" s="13" t="str"/>
      <x:c r="L118" s="16"/>
      <x:c r="M118" s="14" t="str"/>
    </x:row>
    <x:row r="119" ht="42" customHeight="1">
      <x:c r="A119" s="13" t="str">
        <x:v>F-115</x:v>
      </x:c>
      <x:c r="B119" s="13" t="str">
        <x:v>12. Роли и права доступа</x:v>
      </x:c>
      <x:c r="C119" s="14" t="str">
        <x:v>Роль руководителя подразделения</x:v>
      </x:c>
      <x:c r="D119" s="13" t="str">
        <x:v>Реализовано</x:v>
      </x:c>
      <x:c r="E119" s="15" t="n">
        <x:f>IF(D119="Реализовано",1,IF(D119="Частично",0.5,IF(D119="В разработке",0.25,0)))</x:f>
        <x:v>1</x:v>
      </x:c>
      <x:c r="F119" s="13" t="str">
        <x:v>Критический</x:v>
      </x:c>
      <x:c r="G119" s="13" t="str">
        <x:v>Да</x:v>
      </x:c>
      <x:c r="H119" s="13" t="str">
        <x:v>Фундамент</x:v>
      </x:c>
      <x:c r="I119" s="14" t="str">
        <x:v>Функция работает в текущем приложении и серверном API.</x:v>
      </x:c>
      <x:c r="J119" s="14" t="str">
        <x:v>Расширить RBAC ролями кадровика и бухгалтера.</x:v>
      </x:c>
      <x:c r="K119" s="13" t="str"/>
      <x:c r="L119" s="16"/>
      <x:c r="M119" s="14" t="str"/>
    </x:row>
    <x:row r="120" ht="42" customHeight="1">
      <x:c r="A120" s="13" t="str">
        <x:v>F-116</x:v>
      </x:c>
      <x:c r="B120" s="13" t="str">
        <x:v>12. Роли и права доступа</x:v>
      </x:c>
      <x:c r="C120" s="14" t="str">
        <x:v>Роль кадрового работника</x:v>
      </x:c>
      <x:c r="D120" s="13" t="str">
        <x:v>Запланировано</x:v>
      </x:c>
      <x:c r="E120" s="15" t="n">
        <x:f>IF(D120="Реализовано",1,IF(D120="Частично",0.5,IF(D120="В разработке",0.25,0)))</x:f>
        <x:v>0</x:v>
      </x:c>
      <x:c r="F120" s="13" t="str">
        <x:v>Критический</x:v>
      </x:c>
      <x:c r="G120" s="13" t="str">
        <x:v>Да</x:v>
      </x:c>
      <x:c r="H120" s="13" t="str">
        <x:v>Фундамент</x:v>
      </x:c>
      <x:c r="I120" s="14" t="str">
        <x:v>Функция пока отсутствует в текущей версии.</x:v>
      </x:c>
      <x:c r="J120" s="14" t="str">
        <x:v>Расширить RBAC ролями кадровика и бухгалтера.</x:v>
      </x:c>
      <x:c r="K120" s="13" t="str"/>
      <x:c r="L120" s="16"/>
      <x:c r="M120" s="14" t="str"/>
    </x:row>
    <x:row r="121" ht="42" customHeight="1">
      <x:c r="A121" s="13" t="str">
        <x:v>F-117</x:v>
      </x:c>
      <x:c r="B121" s="13" t="str">
        <x:v>12. Роли и права доступа</x:v>
      </x:c>
      <x:c r="C121" s="14" t="str">
        <x:v>Роль бухгалтера</x:v>
      </x:c>
      <x:c r="D121" s="13" t="str">
        <x:v>Запланировано</x:v>
      </x:c>
      <x:c r="E121" s="15" t="n">
        <x:f>IF(D121="Реализовано",1,IF(D121="Частично",0.5,IF(D121="В разработке",0.25,0)))</x:f>
        <x:v>0</x:v>
      </x:c>
      <x:c r="F121" s="13" t="str">
        <x:v>Критический</x:v>
      </x:c>
      <x:c r="G121" s="13" t="str">
        <x:v>Да</x:v>
      </x:c>
      <x:c r="H121" s="13" t="str">
        <x:v>Фундамент</x:v>
      </x:c>
      <x:c r="I121" s="14" t="str">
        <x:v>Функция пока отсутствует в текущей версии.</x:v>
      </x:c>
      <x:c r="J121" s="14" t="str">
        <x:v>Расширить RBAC ролями кадровика и бухгалтера.</x:v>
      </x:c>
      <x:c r="K121" s="13" t="str"/>
      <x:c r="L121" s="16"/>
      <x:c r="M121" s="14" t="str"/>
    </x:row>
    <x:row r="122" ht="42" customHeight="1">
      <x:c r="A122" s="13" t="str">
        <x:v>F-118</x:v>
      </x:c>
      <x:c r="B122" s="13" t="str">
        <x:v>12. Роли и права доступа</x:v>
      </x:c>
      <x:c r="C122" s="14" t="str">
        <x:v>Роль сотрудника</x:v>
      </x:c>
      <x:c r="D122" s="13" t="str">
        <x:v>Реализовано</x:v>
      </x:c>
      <x:c r="E122" s="15" t="n">
        <x:f>IF(D122="Реализовано",1,IF(D122="Частично",0.5,IF(D122="В разработке",0.25,0)))</x:f>
        <x:v>1</x:v>
      </x:c>
      <x:c r="F122" s="13" t="str">
        <x:v>Критический</x:v>
      </x:c>
      <x:c r="G122" s="13" t="str">
        <x:v>Да</x:v>
      </x:c>
      <x:c r="H122" s="13" t="str">
        <x:v>Фундамент</x:v>
      </x:c>
      <x:c r="I122" s="14" t="str">
        <x:v>Функция работает в текущем приложении и серверном API.</x:v>
      </x:c>
      <x:c r="J122" s="14" t="str">
        <x:v>Расширить RBAC ролями кадровика и бухгалтера.</x:v>
      </x:c>
      <x:c r="K122" s="13" t="str"/>
      <x:c r="L122" s="16"/>
      <x:c r="M122" s="14" t="str"/>
    </x:row>
    <x:row r="123" ht="42" customHeight="1">
      <x:c r="A123" s="13" t="str">
        <x:v>F-119</x:v>
      </x:c>
      <x:c r="B123" s="13" t="str">
        <x:v>12. Роли и права доступа</x:v>
      </x:c>
      <x:c r="C123" s="14" t="str">
        <x:v>Права на просмотр, создание, редактирование, согласование и удаление</x:v>
      </x:c>
      <x:c r="D123" s="13" t="str">
        <x:v>Частично</x:v>
      </x:c>
      <x:c r="E123" s="15" t="n">
        <x:f>IF(D123="Реализовано",1,IF(D123="Частично",0.5,IF(D123="В разработке",0.25,0)))</x:f>
        <x:v>0.5</x:v>
      </x:c>
      <x:c r="F123" s="13" t="str">
        <x:v>Критический</x:v>
      </x:c>
      <x:c r="G123" s="13" t="str">
        <x:v>Да</x:v>
      </x:c>
      <x:c r="H123" s="13" t="str">
        <x:v>Фундамент</x:v>
      </x:c>
      <x:c r="I123" s="14" t="str">
        <x:v>Есть базовая модель или интерфейс, но полный рабочий сценарий ещё не завершён.</x:v>
      </x:c>
      <x:c r="J123" s="14" t="str">
        <x:v>Расширить RBAC ролями кадровика и бухгалтера.</x:v>
      </x:c>
      <x:c r="K123" s="13" t="str"/>
      <x:c r="L123" s="16"/>
      <x:c r="M123" s="14" t="str"/>
    </x:row>
    <x:row r="124" ht="42" customHeight="1">
      <x:c r="A124" s="13" t="str">
        <x:v>F-120</x:v>
      </x:c>
      <x:c r="B124" s="13" t="str">
        <x:v>12. Роли и права доступа</x:v>
      </x:c>
      <x:c r="C124" s="14" t="str">
        <x:v>Доступ руководителя только к своему подразделению</x:v>
      </x:c>
      <x:c r="D124" s="13" t="str">
        <x:v>Реализовано</x:v>
      </x:c>
      <x:c r="E124" s="15" t="n">
        <x:f>IF(D124="Реализовано",1,IF(D124="Частично",0.5,IF(D124="В разработке",0.25,0)))</x:f>
        <x:v>1</x:v>
      </x:c>
      <x:c r="F124" s="13" t="str">
        <x:v>Критический</x:v>
      </x:c>
      <x:c r="G124" s="13" t="str">
        <x:v>Да</x:v>
      </x:c>
      <x:c r="H124" s="13" t="str">
        <x:v>Фундамент</x:v>
      </x:c>
      <x:c r="I124" s="14" t="str">
        <x:v>Функция работает в текущем приложении и серверном API.</x:v>
      </x:c>
      <x:c r="J124" s="14" t="str">
        <x:v>Расширить RBAC ролями кадровика и бухгалтера.</x:v>
      </x:c>
      <x:c r="K124" s="13" t="str"/>
      <x:c r="L124" s="16"/>
      <x:c r="M124" s="14" t="str"/>
    </x:row>
    <x:row r="125" ht="42" customHeight="1">
      <x:c r="A125" s="13" t="str">
        <x:v>F-121</x:v>
      </x:c>
      <x:c r="B125" s="13" t="str">
        <x:v>12. Роли и права доступа</x:v>
      </x:c>
      <x:c r="C125" s="14" t="str">
        <x:v>Доступ сотрудника только к личному графику и общим данным</x:v>
      </x:c>
      <x:c r="D125" s="13" t="str">
        <x:v>Реализовано</x:v>
      </x:c>
      <x:c r="E125" s="15" t="n">
        <x:f>IF(D125="Реализовано",1,IF(D125="Частично",0.5,IF(D125="В разработке",0.25,0)))</x:f>
        <x:v>1</x:v>
      </x:c>
      <x:c r="F125" s="13" t="str">
        <x:v>Критический</x:v>
      </x:c>
      <x:c r="G125" s="13" t="str">
        <x:v>Да</x:v>
      </x:c>
      <x:c r="H125" s="13" t="str">
        <x:v>Фундамент</x:v>
      </x:c>
      <x:c r="I125" s="14" t="str">
        <x:v>Функция работает в текущем приложении и серверном API.</x:v>
      </x:c>
      <x:c r="J125" s="14" t="str">
        <x:v>Расширить RBAC ролями кадровика и бухгалтера.</x:v>
      </x:c>
      <x:c r="K125" s="13" t="str"/>
      <x:c r="L125" s="16"/>
      <x:c r="M125" s="14" t="str"/>
    </x:row>
    <x:row r="126" ht="42" customHeight="1">
      <x:c r="A126" s="13" t="str">
        <x:v>F-122</x:v>
      </x:c>
      <x:c r="B126" s="13" t="str">
        <x:v>12. Роли и права доступа</x:v>
      </x:c>
      <x:c r="C126" s="14" t="str">
        <x:v>Скрытие заработной платы без соответствующего права</x:v>
      </x:c>
      <x:c r="D126" s="13" t="str">
        <x:v>Реализовано</x:v>
      </x:c>
      <x:c r="E126" s="15" t="n">
        <x:f>IF(D126="Реализовано",1,IF(D126="Частично",0.5,IF(D126="В разработке",0.25,0)))</x:f>
        <x:v>1</x:v>
      </x:c>
      <x:c r="F126" s="13" t="str">
        <x:v>Критический</x:v>
      </x:c>
      <x:c r="G126" s="13" t="str">
        <x:v>Да</x:v>
      </x:c>
      <x:c r="H126" s="13" t="str">
        <x:v>Фундамент</x:v>
      </x:c>
      <x:c r="I126" s="14" t="str">
        <x:v>Функция работает в текущем приложении и серверном API.</x:v>
      </x:c>
      <x:c r="J126" s="14" t="str">
        <x:v>Расширить RBAC ролями кадровика и бухгалтера.</x:v>
      </x:c>
      <x:c r="K126" s="13" t="str"/>
      <x:c r="L126" s="16"/>
      <x:c r="M126" s="14" t="str"/>
    </x:row>
    <x:row r="127" ht="42" customHeight="1">
      <x:c r="A127" s="13" t="str">
        <x:v>F-123</x:v>
      </x:c>
      <x:c r="B127" s="13" t="str">
        <x:v>13. История и контроль изменений</x:v>
      </x:c>
      <x:c r="C127" s="14" t="str">
        <x:v>Журнал действий пользователей</x:v>
      </x:c>
      <x:c r="D127" s="13" t="str">
        <x:v>Частично</x:v>
      </x:c>
      <x:c r="E127" s="15" t="n">
        <x:f>IF(D127="Реализовано",1,IF(D127="Частично",0.5,IF(D127="В разработке",0.25,0)))</x:f>
        <x:v>0.5</x:v>
      </x:c>
      <x:c r="F127" s="13" t="str">
        <x:v>Высокий</x:v>
      </x:c>
      <x:c r="G127" s="13" t="str">
        <x:v>Да</x:v>
      </x:c>
      <x:c r="H127" s="13" t="str">
        <x:v>V1.0 — табель и аудит</x:v>
      </x:c>
      <x:c r="I127" s="14" t="str">
        <x:v>Есть базовая модель или интерфейс, но полный рабочий сценарий ещё не завершён.</x:v>
      </x:c>
      <x:c r="J127" s="14" t="str">
        <x:v>Добавить просмотр аудита и версии опубликованного графика.</x:v>
      </x:c>
      <x:c r="K127" s="13" t="str"/>
      <x:c r="L127" s="16"/>
      <x:c r="M127" s="14" t="str"/>
    </x:row>
    <x:row r="128" ht="42" customHeight="1">
      <x:c r="A128" s="13" t="str">
        <x:v>F-124</x:v>
      </x:c>
      <x:c r="B128" s="13" t="str">
        <x:v>13. История и контроль изменений</x:v>
      </x:c>
      <x:c r="C128" s="14" t="str">
        <x:v>Автор, дата и время каждого изменения</x:v>
      </x:c>
      <x:c r="D128" s="13" t="str">
        <x:v>Частично</x:v>
      </x:c>
      <x:c r="E128" s="15" t="n">
        <x:f>IF(D128="Реализовано",1,IF(D128="Частично",0.5,IF(D128="В разработке",0.25,0)))</x:f>
        <x:v>0.5</x:v>
      </x:c>
      <x:c r="F128" s="13" t="str">
        <x:v>Высокий</x:v>
      </x:c>
      <x:c r="G128" s="13" t="str">
        <x:v>Да</x:v>
      </x:c>
      <x:c r="H128" s="13" t="str">
        <x:v>V1.0 — табель и аудит</x:v>
      </x:c>
      <x:c r="I128" s="14" t="str">
        <x:v>Есть базовая модель или интерфейс, но полный рабочий сценарий ещё не завершён.</x:v>
      </x:c>
      <x:c r="J128" s="14" t="str">
        <x:v>Добавить просмотр аудита и версии опубликованного графика.</x:v>
      </x:c>
      <x:c r="K128" s="13" t="str"/>
      <x:c r="L128" s="16"/>
      <x:c r="M128" s="14" t="str"/>
    </x:row>
    <x:row r="129" ht="42" customHeight="1">
      <x:c r="A129" s="13" t="str">
        <x:v>F-125</x:v>
      </x:c>
      <x:c r="B129" s="13" t="str">
        <x:v>13. История и контроль изменений</x:v>
      </x:c>
      <x:c r="C129" s="14" t="str">
        <x:v>Предыдущие версии графика</x:v>
      </x:c>
      <x:c r="D129" s="13" t="str">
        <x:v>Запланировано</x:v>
      </x:c>
      <x:c r="E129" s="15" t="n">
        <x:f>IF(D129="Реализовано",1,IF(D129="Частично",0.5,IF(D129="В разработке",0.25,0)))</x:f>
        <x:v>0</x:v>
      </x:c>
      <x:c r="F129" s="13" t="str">
        <x:v>Высокий</x:v>
      </x:c>
      <x:c r="G129" s="13" t="str">
        <x:v>Да</x:v>
      </x:c>
      <x:c r="H129" s="13" t="str">
        <x:v>V1.0 — табель и аудит</x:v>
      </x:c>
      <x:c r="I129" s="14" t="str">
        <x:v>Функция пока отсутствует в текущей версии.</x:v>
      </x:c>
      <x:c r="J129" s="14" t="str">
        <x:v>Добавить просмотр аудита и версии опубликованного графика.</x:v>
      </x:c>
      <x:c r="K129" s="13" t="str"/>
      <x:c r="L129" s="16"/>
      <x:c r="M129" s="14" t="str"/>
    </x:row>
    <x:row r="130" ht="42" customHeight="1">
      <x:c r="A130" s="13" t="str">
        <x:v>F-126</x:v>
      </x:c>
      <x:c r="B130" s="13" t="str">
        <x:v>13. История и контроль изменений</x:v>
      </x:c>
      <x:c r="C130" s="14" t="str">
        <x:v>Просмотр автора изменения смены или отсутствия</x:v>
      </x:c>
      <x:c r="D130" s="13" t="str">
        <x:v>Запланировано</x:v>
      </x:c>
      <x:c r="E130" s="15" t="n">
        <x:f>IF(D130="Реализовано",1,IF(D130="Частично",0.5,IF(D130="В разработке",0.25,0)))</x:f>
        <x:v>0</x:v>
      </x:c>
      <x:c r="F130" s="13" t="str">
        <x:v>Высокий</x:v>
      </x:c>
      <x:c r="G130" s="13" t="str">
        <x:v>Да</x:v>
      </x:c>
      <x:c r="H130" s="13" t="str">
        <x:v>V1.0 — табель и аудит</x:v>
      </x:c>
      <x:c r="I130" s="14" t="str">
        <x:v>Функция пока отсутствует в текущей версии.</x:v>
      </x:c>
      <x:c r="J130" s="14" t="str">
        <x:v>Добавить просмотр аудита и версии опубликованного графика.</x:v>
      </x:c>
      <x:c r="K130" s="13" t="str"/>
      <x:c r="L130" s="16"/>
      <x:c r="M130" s="14" t="str"/>
    </x:row>
    <x:row r="131" ht="42" customHeight="1">
      <x:c r="A131" s="13" t="str">
        <x:v>F-127</x:v>
      </x:c>
      <x:c r="B131" s="13" t="str">
        <x:v>13. История и контроль изменений</x:v>
      </x:c>
      <x:c r="C131" s="14" t="str">
        <x:v>Запрет бесследного удаления утверждённых данных</x:v>
      </x:c>
      <x:c r="D131" s="13" t="str">
        <x:v>Запланировано</x:v>
      </x:c>
      <x:c r="E131" s="15" t="n">
        <x:f>IF(D131="Реализовано",1,IF(D131="Частично",0.5,IF(D131="В разработке",0.25,0)))</x:f>
        <x:v>0</x:v>
      </x:c>
      <x:c r="F131" s="13" t="str">
        <x:v>Высокий</x:v>
      </x:c>
      <x:c r="G131" s="13" t="str">
        <x:v>Да</x:v>
      </x:c>
      <x:c r="H131" s="13" t="str">
        <x:v>V1.0 — табель и аудит</x:v>
      </x:c>
      <x:c r="I131" s="14" t="str">
        <x:v>Функция пока отсутствует в текущей версии.</x:v>
      </x:c>
      <x:c r="J131" s="14" t="str">
        <x:v>Добавить просмотр аудита и версии опубликованного графика.</x:v>
      </x:c>
      <x:c r="K131" s="13" t="str"/>
      <x:c r="L131" s="16"/>
      <x:c r="M131" s="14" t="str"/>
    </x:row>
    <x:row r="132" ht="42" customHeight="1">
      <x:c r="A132" s="13" t="str">
        <x:v>F-128</x:v>
      </x:c>
      <x:c r="B132" s="13" t="str">
        <x:v>13. История и контроль изменений</x:v>
      </x:c>
      <x:c r="C132" s="14" t="str">
        <x:v>Восстановление предыдущей версии графика</x:v>
      </x:c>
      <x:c r="D132" s="13" t="str">
        <x:v>Запланировано</x:v>
      </x:c>
      <x:c r="E132" s="15" t="n">
        <x:f>IF(D132="Реализовано",1,IF(D132="Частично",0.5,IF(D132="В разработке",0.25,0)))</x:f>
        <x:v>0</x:v>
      </x:c>
      <x:c r="F132" s="13" t="str">
        <x:v>Высокий</x:v>
      </x:c>
      <x:c r="G132" s="13" t="str">
        <x:v>Да</x:v>
      </x:c>
      <x:c r="H132" s="13" t="str">
        <x:v>V1.0 — табель и аудит</x:v>
      </x:c>
      <x:c r="I132" s="14" t="str">
        <x:v>Функция пока отсутствует в текущей версии.</x:v>
      </x:c>
      <x:c r="J132" s="14" t="str">
        <x:v>Добавить просмотр аудита и версии опубликованного графика.</x:v>
      </x:c>
      <x:c r="K132" s="13" t="str"/>
      <x:c r="L132" s="16"/>
      <x:c r="M132" s="14" t="str"/>
    </x:row>
    <x:row r="133" ht="42" customHeight="1">
      <x:c r="A133" s="13" t="str">
        <x:v>F-129</x:v>
      </x:c>
      <x:c r="B133" s="13" t="str">
        <x:v>13. История и контроль изменений</x:v>
      </x:c>
      <x:c r="C133" s="14" t="str">
        <x:v>Обязательная причина изменения после утверждения</x:v>
      </x:c>
      <x:c r="D133" s="13" t="str">
        <x:v>Запланировано</x:v>
      </x:c>
      <x:c r="E133" s="15" t="n">
        <x:f>IF(D133="Реализовано",1,IF(D133="Частично",0.5,IF(D133="В разработке",0.25,0)))</x:f>
        <x:v>0</x:v>
      </x:c>
      <x:c r="F133" s="13" t="str">
        <x:v>Высокий</x:v>
      </x:c>
      <x:c r="G133" s="13" t="str">
        <x:v>Да</x:v>
      </x:c>
      <x:c r="H133" s="13" t="str">
        <x:v>V1.0 — табель и аудит</x:v>
      </x:c>
      <x:c r="I133" s="14" t="str">
        <x:v>Функция пока отсутствует в текущей версии.</x:v>
      </x:c>
      <x:c r="J133" s="14" t="str">
        <x:v>Добавить просмотр аудита и версии опубликованного графика.</x:v>
      </x:c>
      <x:c r="K133" s="13" t="str"/>
      <x:c r="L133" s="16"/>
      <x:c r="M133" s="14" t="str"/>
    </x:row>
    <x:row r="134" ht="42" customHeight="1">
      <x:c r="A134" s="13" t="str">
        <x:v>F-130</x:v>
      </x:c>
      <x:c r="B134" s="13" t="str">
        <x:v>14. Интеграции</x:v>
      </x:c>
      <x:c r="C134" s="14" t="str">
        <x:v>Интеграция с 1С:ЗУП</x:v>
      </x:c>
      <x:c r="D134" s="13" t="str">
        <x:v>Запланировано</x:v>
      </x:c>
      <x:c r="E134" s="15" t="n">
        <x:f>IF(D134="Реализовано",1,IF(D134="Частично",0.5,IF(D134="В разработке",0.25,0)))</x:f>
        <x:v>0</x:v>
      </x:c>
      <x:c r="F134" s="13" t="str">
        <x:v>Низкий</x:v>
      </x:c>
      <x:c r="G134" s="13" t="str">
        <x:v>Нет</x:v>
      </x:c>
      <x:c r="H134" s="13" t="str">
        <x:v>V2.0 — интеграции и мобильность</x:v>
      </x:c>
      <x:c r="I134" s="14" t="str">
        <x:v>Функция пока отсутствует в текущей версии.</x:v>
      </x:c>
      <x:c r="J134" s="14" t="str">
        <x:v>Начать с Excel и стабильной публичной документации API.</x:v>
      </x:c>
      <x:c r="K134" s="13" t="str"/>
      <x:c r="L134" s="16"/>
      <x:c r="M134" s="14" t="str"/>
    </x:row>
    <x:row r="135" ht="42" customHeight="1">
      <x:c r="A135" s="13" t="str">
        <x:v>F-131</x:v>
      </x:c>
      <x:c r="B135" s="13" t="str">
        <x:v>14. Интеграции</x:v>
      </x:c>
      <x:c r="C135" s="14" t="str">
        <x:v>Интеграция с Битрикс24</x:v>
      </x:c>
      <x:c r="D135" s="13" t="str">
        <x:v>Запланировано</x:v>
      </x:c>
      <x:c r="E135" s="15" t="n">
        <x:f>IF(D135="Реализовано",1,IF(D135="Частично",0.5,IF(D135="В разработке",0.25,0)))</x:f>
        <x:v>0</x:v>
      </x:c>
      <x:c r="F135" s="13" t="str">
        <x:v>Низкий</x:v>
      </x:c>
      <x:c r="G135" s="13" t="str">
        <x:v>Нет</x:v>
      </x:c>
      <x:c r="H135" s="13" t="str">
        <x:v>V2.0 — интеграции и мобильность</x:v>
      </x:c>
      <x:c r="I135" s="14" t="str">
        <x:v>Функция пока отсутствует в текущей версии.</x:v>
      </x:c>
      <x:c r="J135" s="14" t="str">
        <x:v>Начать с Excel и стабильной публичной документации API.</x:v>
      </x:c>
      <x:c r="K135" s="13" t="str"/>
      <x:c r="L135" s="16"/>
      <x:c r="M135" s="14" t="str"/>
    </x:row>
    <x:row r="136" ht="42" customHeight="1">
      <x:c r="A136" s="13" t="str">
        <x:v>F-132</x:v>
      </x:c>
      <x:c r="B136" s="13" t="str">
        <x:v>14. Интеграции</x:v>
      </x:c>
      <x:c r="C136" s="14" t="str">
        <x:v>Интеграция со СКУД и электронной проходной</x:v>
      </x:c>
      <x:c r="D136" s="13" t="str">
        <x:v>Запланировано</x:v>
      </x:c>
      <x:c r="E136" s="15" t="n">
        <x:f>IF(D136="Реализовано",1,IF(D136="Частично",0.5,IF(D136="В разработке",0.25,0)))</x:f>
        <x:v>0</x:v>
      </x:c>
      <x:c r="F136" s="13" t="str">
        <x:v>Низкий</x:v>
      </x:c>
      <x:c r="G136" s="13" t="str">
        <x:v>Нет</x:v>
      </x:c>
      <x:c r="H136" s="13" t="str">
        <x:v>V2.0 — интеграции и мобильность</x:v>
      </x:c>
      <x:c r="I136" s="14" t="str">
        <x:v>Функция пока отсутствует в текущей версии.</x:v>
      </x:c>
      <x:c r="J136" s="14" t="str">
        <x:v>Начать с Excel и стабильной публичной документации API.</x:v>
      </x:c>
      <x:c r="K136" s="13" t="str"/>
      <x:c r="L136" s="16"/>
      <x:c r="M136" s="14" t="str"/>
    </x:row>
    <x:row r="137" ht="42" customHeight="1">
      <x:c r="A137" s="13" t="str">
        <x:v>F-133</x:v>
      </x:c>
      <x:c r="B137" s="13" t="str">
        <x:v>14. Интеграции</x:v>
      </x:c>
      <x:c r="C137" s="14" t="str">
        <x:v>Импорт и экспорт через Excel</x:v>
      </x:c>
      <x:c r="D137" s="13" t="str">
        <x:v>Запланировано</x:v>
      </x:c>
      <x:c r="E137" s="15" t="n">
        <x:f>IF(D137="Реализовано",1,IF(D137="Частично",0.5,IF(D137="В разработке",0.25,0)))</x:f>
        <x:v>0</x:v>
      </x:c>
      <x:c r="F137" s="13" t="str">
        <x:v>Низкий</x:v>
      </x:c>
      <x:c r="G137" s="13" t="str">
        <x:v>Нет</x:v>
      </x:c>
      <x:c r="H137" s="13" t="str">
        <x:v>V2.0 — интеграции и мобильность</x:v>
      </x:c>
      <x:c r="I137" s="14" t="str">
        <x:v>Функция пока отсутствует в текущей версии.</x:v>
      </x:c>
      <x:c r="J137" s="14" t="str">
        <x:v>Начать с Excel и стабильной публичной документации API.</x:v>
      </x:c>
      <x:c r="K137" s="13" t="str"/>
      <x:c r="L137" s="16"/>
      <x:c r="M137" s="14" t="str"/>
    </x:row>
    <x:row r="138" ht="42" customHeight="1">
      <x:c r="A138" s="13" t="str">
        <x:v>F-134</x:v>
      </x:c>
      <x:c r="B138" s="13" t="str">
        <x:v>14. Интеграции</x:v>
      </x:c>
      <x:c r="C138" s="14" t="str">
        <x:v>Синхронизация с Google Календарём и другими календарями</x:v>
      </x:c>
      <x:c r="D138" s="13" t="str">
        <x:v>Запланировано</x:v>
      </x:c>
      <x:c r="E138" s="15" t="n">
        <x:f>IF(D138="Реализовано",1,IF(D138="Частично",0.5,IF(D138="В разработке",0.25,0)))</x:f>
        <x:v>0</x:v>
      </x:c>
      <x:c r="F138" s="13" t="str">
        <x:v>Низкий</x:v>
      </x:c>
      <x:c r="G138" s="13" t="str">
        <x:v>Нет</x:v>
      </x:c>
      <x:c r="H138" s="13" t="str">
        <x:v>V2.0 — интеграции и мобильность</x:v>
      </x:c>
      <x:c r="I138" s="14" t="str">
        <x:v>Функция пока отсутствует в текущей версии.</x:v>
      </x:c>
      <x:c r="J138" s="14" t="str">
        <x:v>Начать с Excel и стабильной публичной документации API.</x:v>
      </x:c>
      <x:c r="K138" s="13" t="str"/>
      <x:c r="L138" s="16"/>
      <x:c r="M138" s="14" t="str"/>
    </x:row>
    <x:row r="139" ht="42" customHeight="1">
      <x:c r="A139" s="13" t="str">
        <x:v>F-135</x:v>
      </x:c>
      <x:c r="B139" s="13" t="str">
        <x:v>14. Интеграции</x:v>
      </x:c>
      <x:c r="C139" s="14" t="str">
        <x:v>Уведомления через Telegram или корпоративный мессенджер</x:v>
      </x:c>
      <x:c r="D139" s="13" t="str">
        <x:v>Запланировано</x:v>
      </x:c>
      <x:c r="E139" s="15" t="n">
        <x:f>IF(D139="Реализовано",1,IF(D139="Частично",0.5,IF(D139="В разработке",0.25,0)))</x:f>
        <x:v>0</x:v>
      </x:c>
      <x:c r="F139" s="13" t="str">
        <x:v>Низкий</x:v>
      </x:c>
      <x:c r="G139" s="13" t="str">
        <x:v>Нет</x:v>
      </x:c>
      <x:c r="H139" s="13" t="str">
        <x:v>V2.0 — интеграции и мобильность</x:v>
      </x:c>
      <x:c r="I139" s="14" t="str">
        <x:v>Функция пока отсутствует в текущей версии.</x:v>
      </x:c>
      <x:c r="J139" s="14" t="str">
        <x:v>Начать с Excel и стабильной публичной документации API.</x:v>
      </x:c>
      <x:c r="K139" s="13" t="str"/>
      <x:c r="L139" s="16"/>
      <x:c r="M139" s="14" t="str"/>
    </x:row>
    <x:row r="140" ht="42" customHeight="1">
      <x:c r="A140" s="13" t="str">
        <x:v>F-136</x:v>
      </x:c>
      <x:c r="B140" s="13" t="str">
        <x:v>14. Интеграции</x:v>
      </x:c>
      <x:c r="C140" s="14" t="str">
        <x:v>Подключение внешних систем через API</x:v>
      </x:c>
      <x:c r="D140" s="13" t="str">
        <x:v>Реализовано</x:v>
      </x:c>
      <x:c r="E140" s="15" t="n">
        <x:f>IF(D140="Реализовано",1,IF(D140="Частично",0.5,IF(D140="В разработке",0.25,0)))</x:f>
        <x:v>1</x:v>
      </x:c>
      <x:c r="F140" s="13" t="str">
        <x:v>Высокий</x:v>
      </x:c>
      <x:c r="G140" s="13" t="str">
        <x:v>Нет</x:v>
      </x:c>
      <x:c r="H140" s="13" t="str">
        <x:v>V2.0 — интеграции и мобильность</x:v>
      </x:c>
      <x:c r="I140" s="14" t="str">
        <x:v>Функция работает в текущем приложении и серверном API.</x:v>
      </x:c>
      <x:c r="J140" s="14" t="str">
        <x:v>Начать с Excel и стабильной публичной документации API.</x:v>
      </x:c>
      <x:c r="K140" s="13" t="str"/>
      <x:c r="L140" s="16"/>
      <x:c r="M140" s="14" t="str"/>
    </x:row>
    <x:row r="141" ht="42" customHeight="1">
      <x:c r="A141" s="13" t="str">
        <x:v>F-137</x:v>
      </x:c>
      <x:c r="B141" s="13" t="str">
        <x:v>15. Мобильная версия</x:v>
      </x:c>
      <x:c r="C141" s="14" t="str">
        <x:v>Просмотр личного графика с телефона</x:v>
      </x:c>
      <x:c r="D141" s="13" t="str">
        <x:v>Частично</x:v>
      </x:c>
      <x:c r="E141" s="15" t="n">
        <x:f>IF(D141="Реализовано",1,IF(D141="Частично",0.5,IF(D141="В разработке",0.25,0)))</x:f>
        <x:v>0.5</x:v>
      </x:c>
      <x:c r="F141" s="13" t="str">
        <x:v>Низкий</x:v>
      </x:c>
      <x:c r="G141" s="13" t="str">
        <x:v>Нет</x:v>
      </x:c>
      <x:c r="H141" s="13" t="str">
        <x:v>V2.0 — интеграции и мобильность</x:v>
      </x:c>
      <x:c r="I141" s="14" t="str">
        <x:v>Есть базовая модель или интерфейс, но полный рабочий сценарий ещё не завершён.</x:v>
      </x:c>
      <x:c r="J141" s="14" t="str">
        <x:v>Проверить Android/iOS и адаптировать ключевые сценарии.</x:v>
      </x:c>
      <x:c r="K141" s="13" t="str"/>
      <x:c r="L141" s="16"/>
      <x:c r="M141" s="14" t="str"/>
    </x:row>
    <x:row r="142" ht="42" customHeight="1">
      <x:c r="A142" s="13" t="str">
        <x:v>F-138</x:v>
      </x:c>
      <x:c r="B142" s="13" t="str">
        <x:v>15. Мобильная версия</x:v>
      </x:c>
      <x:c r="C142" s="14" t="str">
        <x:v>Подача заявок на отпуск, больничный, отгул и замену</x:v>
      </x:c>
      <x:c r="D142" s="13" t="str">
        <x:v>Запланировано</x:v>
      </x:c>
      <x:c r="E142" s="15" t="n">
        <x:f>IF(D142="Реализовано",1,IF(D142="Частично",0.5,IF(D142="В разработке",0.25,0)))</x:f>
        <x:v>0</x:v>
      </x:c>
      <x:c r="F142" s="13" t="str">
        <x:v>Низкий</x:v>
      </x:c>
      <x:c r="G142" s="13" t="str">
        <x:v>Нет</x:v>
      </x:c>
      <x:c r="H142" s="13" t="str">
        <x:v>V2.0 — интеграции и мобильность</x:v>
      </x:c>
      <x:c r="I142" s="14" t="str">
        <x:v>Функция пока отсутствует в текущей версии.</x:v>
      </x:c>
      <x:c r="J142" s="14" t="str">
        <x:v>Проверить Android/iOS и адаптировать ключевые сценарии.</x:v>
      </x:c>
      <x:c r="K142" s="13" t="str"/>
      <x:c r="L142" s="16"/>
      <x:c r="M142" s="14" t="str"/>
    </x:row>
    <x:row r="143" ht="42" customHeight="1">
      <x:c r="A143" s="13" t="str">
        <x:v>F-139</x:v>
      </x:c>
      <x:c r="B143" s="13" t="str">
        <x:v>15. Мобильная версия</x:v>
      </x:c>
      <x:c r="C143" s="14" t="str">
        <x:v>Обмен сменами между сотрудниками с телефона</x:v>
      </x:c>
      <x:c r="D143" s="13" t="str">
        <x:v>Запланировано</x:v>
      </x:c>
      <x:c r="E143" s="15" t="n">
        <x:f>IF(D143="Реализовано",1,IF(D143="Частично",0.5,IF(D143="В разработке",0.25,0)))</x:f>
        <x:v>0</x:v>
      </x:c>
      <x:c r="F143" s="13" t="str">
        <x:v>Низкий</x:v>
      </x:c>
      <x:c r="G143" s="13" t="str">
        <x:v>Нет</x:v>
      </x:c>
      <x:c r="H143" s="13" t="str">
        <x:v>V2.0 — интеграции и мобильность</x:v>
      </x:c>
      <x:c r="I143" s="14" t="str">
        <x:v>Функция пока отсутствует в текущей версии.</x:v>
      </x:c>
      <x:c r="J143" s="14" t="str">
        <x:v>Проверить Android/iOS и адаптировать ключевые сценарии.</x:v>
      </x:c>
      <x:c r="K143" s="13" t="str"/>
      <x:c r="L143" s="16"/>
      <x:c r="M143" s="14" t="str"/>
    </x:row>
    <x:row r="144" ht="42" customHeight="1">
      <x:c r="A144" s="13" t="str">
        <x:v>F-140</x:v>
      </x:c>
      <x:c r="B144" s="13" t="str">
        <x:v>15. Мобильная версия</x:v>
      </x:c>
      <x:c r="C144" s="14" t="str">
        <x:v>Получение push-уведомлений</x:v>
      </x:c>
      <x:c r="D144" s="13" t="str">
        <x:v>Запланировано</x:v>
      </x:c>
      <x:c r="E144" s="15" t="n">
        <x:f>IF(D144="Реализовано",1,IF(D144="Частично",0.5,IF(D144="В разработке",0.25,0)))</x:f>
        <x:v>0</x:v>
      </x:c>
      <x:c r="F144" s="13" t="str">
        <x:v>Низкий</x:v>
      </x:c>
      <x:c r="G144" s="13" t="str">
        <x:v>Нет</x:v>
      </x:c>
      <x:c r="H144" s="13" t="str">
        <x:v>V2.0 — интеграции и мобильность</x:v>
      </x:c>
      <x:c r="I144" s="14" t="str">
        <x:v>Функция пока отсутствует в текущей версии.</x:v>
      </x:c>
      <x:c r="J144" s="14" t="str">
        <x:v>Проверить Android/iOS и адаптировать ключевые сценарии.</x:v>
      </x:c>
      <x:c r="K144" s="13" t="str"/>
      <x:c r="L144" s="16"/>
      <x:c r="M144" s="14" t="str"/>
    </x:row>
    <x:row r="145" ht="42" customHeight="1">
      <x:c r="A145" s="13" t="str">
        <x:v>F-141</x:v>
      </x:c>
      <x:c r="B145" s="13" t="str">
        <x:v>15. Мобильная версия</x:v>
      </x:c>
      <x:c r="C145" s="14" t="str">
        <x:v>Подтверждение ознакомления с изменениями</x:v>
      </x:c>
      <x:c r="D145" s="13" t="str">
        <x:v>Запланировано</x:v>
      </x:c>
      <x:c r="E145" s="15" t="n">
        <x:f>IF(D145="Реализовано",1,IF(D145="Частично",0.5,IF(D145="В разработке",0.25,0)))</x:f>
        <x:v>0</x:v>
      </x:c>
      <x:c r="F145" s="13" t="str">
        <x:v>Низкий</x:v>
      </x:c>
      <x:c r="G145" s="13" t="str">
        <x:v>Нет</x:v>
      </x:c>
      <x:c r="H145" s="13" t="str">
        <x:v>V2.0 — интеграции и мобильность</x:v>
      </x:c>
      <x:c r="I145" s="14" t="str">
        <x:v>Функция пока отсутствует в текущей версии.</x:v>
      </x:c>
      <x:c r="J145" s="14" t="str">
        <x:v>Проверить Android/iOS и адаптировать ключевые сценарии.</x:v>
      </x:c>
      <x:c r="K145" s="13" t="str"/>
      <x:c r="L145" s="16"/>
      <x:c r="M145" s="14" t="str"/>
    </x:row>
    <x:row r="146" ht="42" customHeight="1">
      <x:c r="A146" s="13" t="str">
        <x:v>F-142</x:v>
      </x:c>
      <x:c r="B146" s="13" t="str">
        <x:v>15. Мобильная версия</x:v>
      </x:c>
      <x:c r="C146" s="14" t="str">
        <x:v>Фиксация начала и окончания смены с телефона</x:v>
      </x:c>
      <x:c r="D146" s="13" t="str">
        <x:v>Запланировано</x:v>
      </x:c>
      <x:c r="E146" s="15" t="n">
        <x:f>IF(D146="Реализовано",1,IF(D146="Частично",0.5,IF(D146="В разработке",0.25,0)))</x:f>
        <x:v>0</x:v>
      </x:c>
      <x:c r="F146" s="13" t="str">
        <x:v>Низкий</x:v>
      </x:c>
      <x:c r="G146" s="13" t="str">
        <x:v>Нет</x:v>
      </x:c>
      <x:c r="H146" s="13" t="str">
        <x:v>V2.0 — интеграции и мобильность</x:v>
      </x:c>
      <x:c r="I146" s="14" t="str">
        <x:v>Функция пока отсутствует в текущей версии.</x:v>
      </x:c>
      <x:c r="J146" s="14" t="str">
        <x:v>Проверить Android/iOS и адаптировать ключевые сценарии.</x:v>
      </x:c>
      <x:c r="K146" s="13" t="str"/>
      <x:c r="L146" s="16"/>
      <x:c r="M146" s="14" t="str"/>
    </x:row>
    <x:row r="147" ht="42" customHeight="1">
      <x:c r="A147" s="13" t="str">
        <x:v>F-143</x:v>
      </x:c>
      <x:c r="B147" s="13" t="str">
        <x:v>15. Мобильная версия</x:v>
      </x:c>
      <x:c r="C147" s="14" t="str">
        <x:v>Прикрепление фотографий и документов</x:v>
      </x:c>
      <x:c r="D147" s="13" t="str">
        <x:v>Запланировано</x:v>
      </x:c>
      <x:c r="E147" s="15" t="n">
        <x:f>IF(D147="Реализовано",1,IF(D147="Частично",0.5,IF(D147="В разработке",0.25,0)))</x:f>
        <x:v>0</x:v>
      </x:c>
      <x:c r="F147" s="13" t="str">
        <x:v>Низкий</x:v>
      </x:c>
      <x:c r="G147" s="13" t="str">
        <x:v>Нет</x:v>
      </x:c>
      <x:c r="H147" s="13" t="str">
        <x:v>V2.0 — интеграции и мобильность</x:v>
      </x:c>
      <x:c r="I147" s="14" t="str">
        <x:v>Функция пока отсутствует в текущей версии.</x:v>
      </x:c>
      <x:c r="J147" s="14" t="str">
        <x:v>Проверить Android/iOS и адаптировать ключевые сценарии.</x:v>
      </x:c>
      <x:c r="K147" s="13" t="str"/>
      <x:c r="L147" s="16"/>
      <x:c r="M147" s="14" t="str"/>
    </x:row>
    <x:row r="148" ht="42" customHeight="1">
      <x:c r="A148" s="13" t="str">
        <x:v>F-144</x:v>
      </x:c>
      <x:c r="B148" s="13" t="str">
        <x:v>15. Мобильная версия</x:v>
      </x:c>
      <x:c r="C148" s="14" t="str">
        <x:v>Работа с основными функциями без компьютера</x:v>
      </x:c>
      <x:c r="D148" s="13" t="str">
        <x:v>Частично</x:v>
      </x:c>
      <x:c r="E148" s="15" t="n">
        <x:f>IF(D148="Реализовано",1,IF(D148="Частично",0.5,IF(D148="В разработке",0.25,0)))</x:f>
        <x:v>0.5</x:v>
      </x:c>
      <x:c r="F148" s="13" t="str">
        <x:v>Низкий</x:v>
      </x:c>
      <x:c r="G148" s="13" t="str">
        <x:v>Нет</x:v>
      </x:c>
      <x:c r="H148" s="13" t="str">
        <x:v>V2.0 — интеграции и мобильность</x:v>
      </x:c>
      <x:c r="I148" s="14" t="str">
        <x:v>Есть базовая модель или интерфейс, но полный рабочий сценарий ещё не завершён.</x:v>
      </x:c>
      <x:c r="J148" s="14" t="str">
        <x:v>Проверить Android/iOS и адаптировать ключевые сценарии.</x:v>
      </x:c>
      <x:c r="K148" s="13" t="str"/>
      <x:c r="L148" s="16"/>
      <x:c r="M148" s="14" t="str"/>
    </x:row>
    <x:row r="149" ht="42" customHeight="1">
      <x:c r="A149" t="str">
        <x:v>F-145</x:v>
      </x:c>
      <x:c r="B149" t="str">
        <x:v>16. Персонализация интерфейса</x:v>
      </x:c>
      <x:c r="C149" t="str">
        <x:v>Три самостоятельные темы: светлая, сумеречная и тёмная</x:v>
      </x:c>
      <x:c r="D149" t="str">
        <x:v>Реализовано</x:v>
      </x:c>
      <x:c r="E149" s="90" t="n">
        <x:f>IF(D149="Реализовано",1,IF(D149="Частично",0.5,IF(D149="В разработке",0.25,0)))</x:f>
        <x:v>1</x:v>
      </x:c>
      <x:c r="F149" t="str">
        <x:v>Высокий</x:v>
      </x:c>
      <x:c r="G149" t="str">
        <x:v>Да</x:v>
      </x:c>
      <x:c r="H149" t="str">
        <x:v>Фундамент</x:v>
      </x:c>
      <x:c r="I149" s="91" t="str">
        <x:v>Функция работает в текущем приложении и серверном API. Интерфейс проверен анализатором и автоматическими тестами.</x:v>
      </x:c>
      <x:c r="J149" s="91" t="str">
        <x:v>Поддерживать все новые компоненты во всех трёх палитрах.</x:v>
      </x:c>
      <x:c r="K149"/>
      <x:c r="L149"/>
      <x:c r="M149" s="91" t="str">
        <x:v>Реализовано 17.08.2026.</x:v>
      </x:c>
    </x:row>
    <x:row r="150" ht="42" customHeight="1">
      <x:c r="A150" t="str">
        <x:v>F-146</x:v>
      </x:c>
      <x:c r="B150" t="str">
        <x:v>16. Персонализация интерфейса</x:v>
      </x:c>
      <x:c r="C150" t="str">
        <x:v>Сохранение темы и интерфейсных настроек для каждой учётной записи</x:v>
      </x:c>
      <x:c r="D150" t="str">
        <x:v>Реализовано</x:v>
      </x:c>
      <x:c r="E150" s="90" t="n">
        <x:f>IF(D150="Реализовано",1,IF(D150="Частично",0.5,IF(D150="В разработке",0.25,0)))</x:f>
        <x:v>1</x:v>
      </x:c>
      <x:c r="F150" t="str">
        <x:v>Высокий</x:v>
      </x:c>
      <x:c r="G150" t="str">
        <x:v>Да</x:v>
      </x:c>
      <x:c r="H150" t="str">
        <x:v>Фундамент</x:v>
      </x:c>
      <x:c r="I150" s="91" t="str">
        <x:v>Настройки кешируются на устройстве и синхронизируются через защищённый серверный API.</x:v>
      </x:c>
      <x:c r="J150" s="91" t="str">
        <x:v>Добавить административные шаблоны настроек по ролям.</x:v>
      </x:c>
      <x:c r="K150"/>
      <x:c r="L150"/>
      <x:c r="M150" s="91" t="str">
        <x:v>Реализовано 17.08.2026.</x:v>
      </x:c>
    </x:row>
    <x:row r="151" ht="42" customHeight="1">
      <x:c r="A151" t="str">
        <x:v>F-147</x:v>
      </x:c>
      <x:c r="B151" t="str">
        <x:v>16. Персонализация интерфейса</x:v>
      </x:c>
      <x:c r="C151" t="str">
        <x:v>Выбор виджетов персонального главного экрана</x:v>
      </x:c>
      <x:c r="D151" t="str">
        <x:v>Реализовано</x:v>
      </x:c>
      <x:c r="E151" s="90" t="n">
        <x:f>IF(D151="Реализовано",1,IF(D151="Частично",0.5,IF(D151="В разработке",0.25,0)))</x:f>
        <x:v>1</x:v>
      </x:c>
      <x:c r="F151" t="str">
        <x:v>Высокий</x:v>
      </x:c>
      <x:c r="G151" t="str">
        <x:v>Да</x:v>
      </x:c>
      <x:c r="H151" t="str">
        <x:v>Фундамент</x:v>
      </x:c>
      <x:c r="I151" s="91" t="str">
        <x:v>Пользователь может включать и отключать рабочие виджеты главного экрана.</x:v>
      </x:c>
      <x:c r="J151" s="91" t="str">
        <x:v>Добавлять новые виджеты вместе с появлением заявок и уведомлений.</x:v>
      </x:c>
      <x:c r="K151"/>
      <x:c r="L151"/>
      <x:c r="M151" s="91" t="str">
        <x:v>Реализовано 17.08.2026.</x:v>
      </x:c>
    </x:row>
    <x:row r="152" ht="42" customHeight="1">
      <x:c r="A152" t="str">
        <x:v>F-148</x:v>
      </x:c>
      <x:c r="B152" t="str">
        <x:v>16. Персонализация интерфейса</x:v>
      </x:c>
      <x:c r="C152" t="str">
        <x:v>Отдельный порядок и размеры виджетов для компьютера и телефона</x:v>
      </x:c>
      <x:c r="D152" t="str">
        <x:v>Реализовано</x:v>
      </x:c>
      <x:c r="E152" s="90" t="n">
        <x:f>IF(D152="Реализовано",1,IF(D152="Частично",0.5,IF(D152="В разработке",0.25,0)))</x:f>
        <x:v>1</x:v>
      </x:c>
      <x:c r="F152" t="str">
        <x:v>Средний</x:v>
      </x:c>
      <x:c r="G152" t="str">
        <x:v>Да</x:v>
      </x:c>
      <x:c r="H152" t="str">
        <x:v>Фундамент</x:v>
      </x:c>
      <x:c r="I152" s="91" t="str">
        <x:v>Есть перетаскивание, включение блоков и выбор размера; раскладки разделены по устройствам.</x:v>
      </x:c>
      <x:c r="J152" s="91" t="str">
        <x:v>Добавить свободное размещение по сетке после проверки пользовательского опыта.</x:v>
      </x:c>
      <x:c r="K152"/>
      <x:c r="L152"/>
      <x:c r="M152" s="91" t="str">
        <x:v>Реализовано 17.08.2026.</x:v>
      </x:c>
    </x:row>
    <x:row r="153" ht="42" customHeight="1">
      <x:c r="A153" t="str">
        <x:v>F-149</x:v>
      </x:c>
      <x:c r="B153" t="str">
        <x:v>16. Персонализация интерфейса</x:v>
      </x:c>
      <x:c r="C153" t="str">
        <x:v>Ограничение доступных виджетов ролью и правами пользователя</x:v>
      </x:c>
      <x:c r="D153" t="str">
        <x:v>Реализовано</x:v>
      </x:c>
      <x:c r="E153" s="90" t="n">
        <x:f>IF(D153="Реализовано",1,IF(D153="Частично",0.5,IF(D153="В разработке",0.25,0)))</x:f>
        <x:v>1</x:v>
      </x:c>
      <x:c r="F153" t="str">
        <x:v>Критический</x:v>
      </x:c>
      <x:c r="G153" t="str">
        <x:v>Да</x:v>
      </x:c>
      <x:c r="H153" t="str">
        <x:v>Фундамент</x:v>
      </x:c>
      <x:c r="I153" s="91" t="str">
        <x:v>Управленческие виджеты выдаются только ролям с соответствующими правами.</x:v>
      </x:c>
      <x:c r="J153" s="91" t="str">
        <x:v>Расширять правила доступа при добавлении кадровых и финансовых виджетов.</x:v>
      </x:c>
      <x:c r="K153"/>
      <x:c r="L153"/>
      <x:c r="M153" s="91" t="str">
        <x:v>Реализовано 17.08.2026.</x:v>
      </x:c>
    </x:row>
  </x:sheetData>
  <x:mergeCells>
    <x:mergeCell ref="A1:M1"/>
    <x:mergeCell ref="A2:M2"/>
  </x:mergeCells>
  <x:conditionalFormatting sqref="D5:D148">
    <x:cfRule type="containsText" dxfId="0" priority="1" operator="containsText" text="Реализовано"/>
    <x:cfRule type="containsText" dxfId="1" priority="2" operator="containsText" text="Частично"/>
    <x:cfRule type="containsText" dxfId="2" priority="3" operator="containsText" text="В разработке"/>
    <x:cfRule type="containsText" dxfId="3" priority="4" operator="containsText" text="Запланировано"/>
  </x:conditionalFormatting>
  <x:conditionalFormatting sqref="E5:E148">
    <x:cfRule type="dataBar" priority="5">
      <x:dataBar>
        <x:cfvo type="min"/>
        <x:cfvo type="max"/>
        <x:color rgb="FF2B7A78"/>
      </x:dataBar>
      <x:extLst>
        <x:ext xmlns:x14="http://schemas.microsoft.com/office/spreadsheetml/2009/9/main" uri="{B025F937-C7B1-47D3-B67F-A62EFF666E3E}">
          <x14:id>{19D8FE91-7E34-6B32-368B-97A1795B3F75}</x14:id>
        </x:ext>
      </x:extLst>
    </x:cfRule>
  </x:conditionalFormatting>
  <x:conditionalFormatting sqref="E149:E153">
    <x:cfRule type="dataBar" priority="6">
      <x:dataBar>
        <x:cfvo type="min"/>
        <x:cfvo type="max"/>
        <x:color rgb="FF2B7A78"/>
      </x:dataBar>
      <x:extLst>
        <x:ext xmlns:x14="http://schemas.microsoft.com/office/spreadsheetml/2009/9/main" uri="{B025F937-C7B1-47D3-B67F-A62EFF666E3E}">
          <x14:id>{75D0693C-3C6D-E8D4-0548-3909B24B9EBE}</x14:id>
        </x:ext>
      </x:extLst>
    </x:cfRule>
  </x:conditionalFormatting>
  <x:conditionalFormatting sqref="D149:D153">
    <x:cfRule type="containsText" dxfId="4" priority="7" operator="containsText" text="Реализовано"/>
    <x:cfRule type="containsText" dxfId="5" priority="8" operator="containsText" text="Частично"/>
    <x:cfRule type="containsText" dxfId="6" priority="9" operator="containsText" text="В разработке"/>
    <x:cfRule type="containsText" dxfId="7" priority="10" operator="containsText" text="Запланировано"/>
  </x:conditionalFormatting>
  <x:dataValidations count="8">
    <x:dataValidation type="list" sqref="D5:D148">
      <x:formula1>'Справочники'!$A$2:$A$5</x:formula1>
    </x:dataValidation>
    <x:dataValidation type="list" sqref="F5:F148">
      <x:formula1>'Справочники'!$B$2:$B$5</x:formula1>
    </x:dataValidation>
    <x:dataValidation type="list" sqref="G5:G148">
      <x:formula1>'Справочники'!$D$2:$D$3</x:formula1>
    </x:dataValidation>
    <x:dataValidation type="list" sqref="H5:H148">
      <x:formula1>'Справочники'!$C$2:$C$8</x:formula1>
    </x:dataValidation>
    <x:dataValidation type="list" sqref="D149:D153">
      <x:formula1>'Справочники'!$A$2:$A$5</x:formula1>
    </x:dataValidation>
    <x:dataValidation type="list" sqref="F149:F153">
      <x:formula1>'Справочники'!$B$2:$B$5</x:formula1>
    </x:dataValidation>
    <x:dataValidation type="list" sqref="G149:G153">
      <x:formula1>'Справочники'!$D$2:$D$3</x:formula1>
    </x:dataValidation>
    <x:dataValidation type="list" sqref="H149:H153">
      <x:formula1>'Справочники'!$C$2:$C$8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e50ed7efd5446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19D8FE91-7E34-6B32-368B-97A1795B3F75}">
            <x14:dataBar gradient="1">
              <x14:cfvo type="min"/>
              <x14:cfvo type="max"/>
              <x14:fillColor rgb="FF2B7A78"/>
            </x14:dataBar>
          </x14:cfRule>
          <xm:sqref>E5:E148</xm:sqref>
        </x14:conditionalFormatting>
        <x14:conditionalFormatting>
          <x14:cfRule type="dataBar" priority="6" id="{75D0693C-3C6D-E8D4-0548-3909B24B9EBE}">
            <x14:dataBar gradient="1">
              <x14:cfvo type="min"/>
              <x14:cfvo type="max"/>
              <x14:fillColor rgb="FF2B7A78"/>
            </x14:dataBar>
          </x14:cfRule>
          <xm:sqref>E149:E153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0" hidden="0" customWidth="1"/>
    <x:col min="3" max="3" width="15" hidden="0" customWidth="1"/>
    <x:col min="4" max="4" width="15" hidden="0" customWidth="1"/>
    <x:col min="5" max="5" width="15" hidden="0" customWidth="1"/>
    <x:col min="6" max="6" width="14" hidden="0" customWidth="1"/>
    <x:col min="7" max="7" width="54" hidden="0" customWidth="1"/>
  </x:cols>
  <x:sheetData>
    <x:row r="1" ht="38" customHeight="1">
      <x:c r="A1" s="17" t="str">
        <x:v>ПЛАН РАЗРАБОТКИ ПО ЭТАПАМ</x:v>
      </x:c>
      <x:c r="B1" s="17"/>
      <x:c r="C1" s="17"/>
      <x:c r="D1" s="17"/>
      <x:c r="E1" s="17"/>
      <x:c r="F1" s="17"/>
      <x:c r="G1" s="17"/>
    </x:row>
    <x:row r="3">
      <x:c r="A3" s="20" t="str">
        <x:v>Этап</x:v>
      </x:c>
      <x:c r="B3" s="20" t="str">
        <x:v>Цель</x:v>
      </x:c>
      <x:c r="C3" s="20" t="str">
        <x:v>Всего функций</x:v>
      </x:c>
      <x:c r="D3" s="20" t="str">
        <x:v>Реализовано</x:v>
      </x:c>
      <x:c r="E3" s="20" t="str">
        <x:v>Частично</x:v>
      </x:c>
      <x:c r="F3" s="20" t="str">
        <x:v>Прогресс</x:v>
      </x:c>
      <x:c r="G3" s="20" t="str">
        <x:v>Рекомендуемый результат</x:v>
      </x:c>
    </x:row>
    <x:row r="4" ht="48" customHeight="1">
      <x:c r="A4" s="21" t="str">
        <x:v>Фундамент</x:v>
      </x:c>
      <x:c r="B4" s="30" t="str">
        <x:v>Стабильная серверная основа, сотрудники и права</x:v>
      </x:c>
      <x:c r="C4" s="22" t="n">
        <x:f>COUNTIF('Функции'!$H$5:$H$200,A4)</x:f>
        <x:v>20</x:v>
      </x:c>
      <x:c r="D4" s="22" t="n">
        <x:f>COUNTIFS('Функции'!$H$5:$H$200,A4,'Функции'!$D$5:$D$200,"Реализовано")</x:f>
        <x:v>12</x:v>
      </x:c>
      <x:c r="E4" s="22" t="n">
        <x:f>COUNTIFS('Функции'!$H$5:$H$200,A4,'Функции'!$D$5:$D$200,"Частично")</x:f>
        <x:v>3</x:v>
      </x:c>
      <x:c r="F4" s="36" t="n">
        <x:f>IF(C4=0,0,SUMIF('Функции'!$H$5:$H$200,A4,'Функции'!$E$5:$E$200)/C4)</x:f>
        <x:v>0.675</x:v>
      </x:c>
      <x:c r="G4" s="33" t="str">
        <x:v>Миграции БД, тесты, CI и безопасные резервные копии</x:v>
      </x:c>
    </x:row>
    <x:row r="5" ht="48" customHeight="1">
      <x:c r="A5" s="24" t="str">
        <x:v>V1.0 — ядро графика</x:v>
      </x:c>
      <x:c r="B5" s="31" t="str">
        <x:v>Планирование и публикация смен</x:v>
      </x:c>
      <x:c r="C5" s="25" t="n">
        <x:f>COUNTIF('Функции'!$H$5:$H$200,A5)</x:f>
        <x:v>25</x:v>
      </x:c>
      <x:c r="D5" s="25" t="n">
        <x:f>COUNTIFS('Функции'!$H$5:$H$200,A5,'Функции'!$D$5:$D$200,"Реализовано")</x:f>
        <x:v>4</x:v>
      </x:c>
      <x:c r="E5" s="25" t="n">
        <x:f>COUNTIFS('Функции'!$H$5:$H$200,A5,'Функции'!$D$5:$D$200,"Частично")</x:f>
        <x:v>3</x:v>
      </x:c>
      <x:c r="F5" s="37" t="n">
        <x:f>IF(C5=0,0,SUMIF('Функции'!$H$5:$H$200,A5,'Функции'!$E$5:$E$200)/C5)</x:f>
        <x:v>0.22</x:v>
      </x:c>
      <x:c r="G5" s="34" t="str">
        <x:v>Ручной недельный/месячный график с шаблонами и конфликтами</x:v>
      </x:c>
    </x:row>
    <x:row r="6" ht="48" customHeight="1">
      <x:c r="A6" s="24" t="str">
        <x:v>V1.0 — отсутствия и заявки</x:v>
      </x:c>
      <x:c r="B6" s="31" t="str">
        <x:v>Отпуска и согласование</x:v>
      </x:c>
      <x:c r="C6" s="25" t="n">
        <x:f>COUNTIF('Функции'!$H$5:$H$200,A6)</x:f>
        <x:v>23</x:v>
      </x:c>
      <x:c r="D6" s="25" t="n">
        <x:f>COUNTIFS('Функции'!$H$5:$H$200,A6,'Функции'!$D$5:$D$200,"Реализовано")</x:f>
        <x:v>0</x:v>
      </x:c>
      <x:c r="E6" s="25" t="n">
        <x:f>COUNTIFS('Функции'!$H$5:$H$200,A6,'Функции'!$D$5:$D$200,"Частично")</x:f>
        <x:v>5</x:v>
      </x:c>
      <x:c r="F6" s="37" t="n">
        <x:f>IF(C6=0,0,SUMIF('Функции'!$H$5:$H$200,A6,'Функции'!$E$5:$E$200)/C6)</x:f>
        <x:v>0.10869565217391304</x:v>
      </x:c>
      <x:c r="G6" s="34" t="str">
        <x:v>Базовые отсутствия и одноэтапное согласование заявок</x:v>
      </x:c>
    </x:row>
    <x:row r="7" ht="48" customHeight="1">
      <x:c r="A7" s="24" t="str">
        <x:v>V1.0 — табель и аудит</x:v>
      </x:c>
      <x:c r="B7" s="31" t="str">
        <x:v>План/факт и закрытие периода</x:v>
      </x:c>
      <x:c r="C7" s="25" t="n">
        <x:f>COUNTIF('Функции'!$H$5:$H$200,A7)</x:f>
        <x:v>26</x:v>
      </x:c>
      <x:c r="D7" s="25" t="n">
        <x:f>COUNTIFS('Функции'!$H$5:$H$200,A7,'Функции'!$D$5:$D$200,"Реализовано")</x:f>
        <x:v>0</x:v>
      </x:c>
      <x:c r="E7" s="25" t="n">
        <x:f>COUNTIFS('Функции'!$H$5:$H$200,A7,'Функции'!$D$5:$D$200,"Частично")</x:f>
        <x:v>7</x:v>
      </x:c>
      <x:c r="F7" s="37" t="n">
        <x:f>IF(C7=0,0,SUMIF('Функции'!$H$5:$H$200,A7,'Функции'!$E$5:$E$200)/C7)</x:f>
        <x:v>0.1346153846153846</x:v>
      </x:c>
      <x:c r="G7" s="34" t="str">
        <x:v>Табель, блокировка периода, Excel и журнал действий</x:v>
      </x:c>
    </x:row>
    <x:row r="8" ht="48" customHeight="1">
      <x:c r="A8" s="24" t="str">
        <x:v>V1.1 — замены и уведомления</x:v>
      </x:c>
      <x:c r="B8" s="31" t="str">
        <x:v>Оперативные изменения графика</x:v>
      </x:c>
      <x:c r="C8" s="25" t="n">
        <x:f>COUNTIF('Функции'!$H$5:$H$200,A8)</x:f>
        <x:v>21</x:v>
      </x:c>
      <x:c r="D8" s="25" t="n">
        <x:f>COUNTIFS('Функции'!$H$5:$H$200,A8,'Функции'!$D$5:$D$200,"Реализовано")</x:f>
        <x:v>0</x:v>
      </x:c>
      <x:c r="E8" s="25" t="n">
        <x:f>COUNTIFS('Функции'!$H$5:$H$200,A8,'Функции'!$D$5:$D$200,"Частично")</x:f>
        <x:v>0</x:v>
      </x:c>
      <x:c r="F8" s="37" t="n">
        <x:f>IF(C8=0,0,SUMIF('Функции'!$H$5:$H$200,A8,'Функции'!$E$5:$E$200)/C8)</x:f>
        <x:v>0</x:v>
      </x:c>
      <x:c r="G8" s="34" t="str">
        <x:v>Обмены, свободные смены и in-app уведомления</x:v>
      </x:c>
    </x:row>
    <x:row r="9" ht="48" customHeight="1">
      <x:c r="A9" s="24" t="str">
        <x:v>V1.2 — аналитика и зарплата</x:v>
      </x:c>
      <x:c r="B9" s="31" t="str">
        <x:v>Отчётность и расчёты</x:v>
      </x:c>
      <x:c r="C9" s="25" t="n">
        <x:f>COUNTIF('Функции'!$H$5:$H$200,A9)</x:f>
        <x:v>19</x:v>
      </x:c>
      <x:c r="D9" s="25" t="n">
        <x:f>COUNTIFS('Функции'!$H$5:$H$200,A9,'Функции'!$D$5:$D$200,"Реализовано")</x:f>
        <x:v>0</x:v>
      </x:c>
      <x:c r="E9" s="25" t="n">
        <x:f>COUNTIFS('Функции'!$H$5:$H$200,A9,'Функции'!$D$5:$D$200,"Частично")</x:f>
        <x:v>3</x:v>
      </x:c>
      <x:c r="F9" s="37" t="n">
        <x:f>IF(C9=0,0,SUMIF('Функции'!$H$5:$H$200,A9,'Функции'!$E$5:$E$200)/C9)</x:f>
        <x:v>0.07894736842105263</x:v>
      </x:c>
      <x:c r="G9" s="34" t="str">
        <x:v>Проверяемые отчёты и прозрачный расчёт оплаты</x:v>
      </x:c>
    </x:row>
    <x:row r="10" ht="48" customHeight="1">
      <x:c r="A10" s="27" t="str">
        <x:v>V2.0 — интеграции и мобильность</x:v>
      </x:c>
      <x:c r="B10" s="32" t="str">
        <x:v>Подключение внешних систем</x:v>
      </x:c>
      <x:c r="C10" s="28" t="n">
        <x:f>COUNTIF('Функции'!$H$5:$H$200,A10)</x:f>
        <x:v>15</x:v>
      </x:c>
      <x:c r="D10" s="28" t="n">
        <x:f>COUNTIFS('Функции'!$H$5:$H$200,A10,'Функции'!$D$5:$D$200,"Реализовано")</x:f>
        <x:v>1</x:v>
      </x:c>
      <x:c r="E10" s="28" t="n">
        <x:f>COUNTIFS('Функции'!$H$5:$H$200,A10,'Функции'!$D$5:$D$200,"Частично")</x:f>
        <x:v>2</x:v>
      </x:c>
      <x:c r="F10" s="38" t="n">
        <x:f>IF(C10=0,0,SUMIF('Функции'!$H$5:$H$200,A10,'Функции'!$E$5:$E$200)/C10)</x:f>
        <x:v>0.13333333333333333</x:v>
      </x:c>
      <x:c r="G10" s="35" t="str">
        <x:v>Мобильные сценарии, 1С, СКУД, календарь и мессенджеры</x:v>
      </x:c>
    </x:row>
  </x:sheetData>
  <x:mergeCells>
    <x:mergeCell ref="A1:G1"/>
  </x:mergeCells>
  <x:conditionalFormatting sqref="F4:F10">
    <x:cfRule type="dataBar" priority="1">
      <x:dataBar>
        <x:cfvo type="min"/>
        <x:cfvo type="max"/>
        <x:color rgb="FF2B7A78"/>
      </x:dataBar>
      <x:extLst>
        <x:ext xmlns:x14="http://schemas.microsoft.com/office/spreadsheetml/2009/9/main" uri="{B025F937-C7B1-47D3-B67F-A62EFF666E3E}">
          <x14:id>{80231C07-EB7D-236C-8A84-4C8268CBC050}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0231C07-EB7D-236C-8A84-4C8268CBC050}">
            <x14:dataBar gradient="1">
              <x14:cfvo type="min"/>
              <x14:cfvo type="max"/>
              <x14:fillColor rgb="FF2B7A78"/>
            </x14:dataBar>
          </x14:cfRule>
          <xm:sqref>F4:F10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4" t="str">
        <x:v>Статусы</x:v>
      </x:c>
      <x:c r="B1" s="4" t="str">
        <x:v>Приоритеты</x:v>
      </x:c>
      <x:c r="C1" s="4" t="str">
        <x:v>Этапы</x:v>
      </x:c>
      <x:c r="D1" s="4" t="str">
        <x:v>MVP</x:v>
      </x:c>
    </x:row>
    <x:row r="2">
      <x:c r="A2" s="2" t="str">
        <x:v>Запланировано</x:v>
      </x:c>
      <x:c r="B2" s="2" t="str">
        <x:v>Критический</x:v>
      </x:c>
      <x:c r="C2" s="2" t="str">
        <x:v>Фундамент</x:v>
      </x:c>
      <x:c r="D2" s="2" t="str">
        <x:v>Да</x:v>
      </x:c>
    </x:row>
    <x:row r="3">
      <x:c r="A3" s="2" t="str">
        <x:v>В разработке</x:v>
      </x:c>
      <x:c r="B3" s="2" t="str">
        <x:v>Высокий</x:v>
      </x:c>
      <x:c r="C3" s="2" t="str">
        <x:v>V1.0 — ядро графика</x:v>
      </x:c>
      <x:c r="D3" s="2" t="str">
        <x:v>Нет</x:v>
      </x:c>
    </x:row>
    <x:row r="4">
      <x:c r="A4" s="2" t="str">
        <x:v>Частично</x:v>
      </x:c>
      <x:c r="B4" s="2" t="str">
        <x:v>Средний</x:v>
      </x:c>
      <x:c r="C4" s="2" t="str">
        <x:v>V1.0 — отсутствия и заявки</x:v>
      </x:c>
      <x:c r="D4" s="2"/>
    </x:row>
    <x:row r="5">
      <x:c r="A5" s="2" t="str">
        <x:v>Реализовано</x:v>
      </x:c>
      <x:c r="B5" s="2" t="str">
        <x:v>Низкий</x:v>
      </x:c>
      <x:c r="C5" s="2" t="str">
        <x:v>V1.0 — табель и аудит</x:v>
      </x:c>
      <x:c r="D5" s="2"/>
    </x:row>
    <x:row r="6">
      <x:c r="A6" s="2"/>
      <x:c r="B6" s="2"/>
      <x:c r="C6" s="2" t="str">
        <x:v>V1.1 — замены и уведомления</x:v>
      </x:c>
      <x:c r="D6" s="2"/>
    </x:row>
    <x:row r="7">
      <x:c r="A7" s="2"/>
      <x:c r="B7" s="2"/>
      <x:c r="C7" s="2" t="str">
        <x:v>V1.2 — аналитика и зарплата</x:v>
      </x:c>
      <x:c r="D7" s="2"/>
    </x:row>
    <x:row r="8">
      <x:c r="A8" s="2"/>
      <x:c r="B8" s="2"/>
      <x:c r="C8" s="2" t="str">
        <x:v>V2.0 — интеграции и мобильность</x:v>
      </x:c>
      <x:c r="D8" s="2"/>
    </x:row>
  </x:sheetData>
  <x:pageMargins left="0.7" right="0.7" top="0.75" bottom="0.75" header="0.3" footer="0.3"/>
</x:worksheet>
</file>